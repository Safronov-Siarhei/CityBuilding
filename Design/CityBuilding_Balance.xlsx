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economy" sheetId="2" state="visible" r:id="rId2"/>
    <sheet name="buildings" sheetId="3" state="visible" r:id="rId3"/>
    <sheet name="свод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#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sz val="11"/>
    </font>
    <font>
      <name val="Arial"/>
      <i val="1"/>
      <color rgb="00555555"/>
      <sz val="10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164" fontId="2" fillId="3" borderId="1" pivotButton="0" quotePrefix="0" xfId="0"/>
    <xf numFmtId="2" fontId="3" fillId="4" borderId="1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pivotButton="0" quotePrefix="0" xfId="0"/>
    <xf numFmtId="1" fontId="3" fillId="4" borderId="1" pivotButton="0" quotePrefix="0" xfId="0"/>
    <xf numFmtId="165" fontId="3" fillId="4" borderId="1" pivotButton="0" quotePrefix="0" xfId="0"/>
    <xf numFmtId="0" fontId="5" fillId="0" borderId="0" pivotButton="0" quotePrefix="0" xfId="0"/>
    <xf numFmtId="0" fontId="3" fillId="0" borderId="0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8" customWidth="1" min="5" max="5"/>
    <col width="18" customWidth="1" min="6" max="6"/>
    <col width="22" customWidth="1" min="7" max="7"/>
    <col width="12" customWidth="1" min="8" max="8"/>
    <col width="14" customWidth="1" min="9" max="9"/>
    <col width="14" customWidth="1" min="10" max="10"/>
    <col width="20" customWidth="1" min="11" max="11"/>
    <col width="10" customWidth="1" min="12" max="12"/>
    <col width="20" customWidth="1" min="13" max="13"/>
    <col width="18" customWidth="1" min="14" max="14"/>
    <col width="14" customWidth="1" min="15" max="15"/>
  </cols>
  <sheetData>
    <row r="1">
      <c r="A1" s="1" t="inlineStr">
        <is>
          <t>id</t>
        </is>
      </c>
      <c r="B1" s="1" t="inlineStr">
        <is>
          <t>display_name</t>
        </is>
      </c>
      <c r="C1" s="1" t="inlineStr">
        <is>
          <t>max_health</t>
        </is>
      </c>
      <c r="D1" s="1" t="inlineStr">
        <is>
          <t>attack_damage</t>
        </is>
      </c>
      <c r="E1" s="1" t="inlineStr">
        <is>
          <t>attack_interval_sec</t>
        </is>
      </c>
      <c r="F1" s="1" t="inlineStr">
        <is>
          <t>attack_range_units</t>
        </is>
      </c>
      <c r="G1" s="1" t="inlineStr">
        <is>
          <t>attack_range_structures</t>
        </is>
      </c>
      <c r="H1" s="1" t="inlineStr">
        <is>
          <t>walk_speed</t>
        </is>
      </c>
      <c r="I1" s="1" t="inlineStr">
        <is>
          <t>engage_radius</t>
        </is>
      </c>
      <c r="J1" s="1" t="inlineStr">
        <is>
          <t>recruit_coins</t>
        </is>
      </c>
      <c r="K1" s="1" t="inlineStr">
        <is>
          <t>upkeep_coins_per_day</t>
        </is>
      </c>
      <c r="L1" s="1" t="inlineStr">
        <is>
          <t>dps</t>
        </is>
      </c>
      <c r="M1" s="1" t="inlineStr">
        <is>
          <t>ttk_vs_militia_sec</t>
        </is>
      </c>
      <c r="N1" s="1" t="inlineStr">
        <is>
          <t>ttk_vs_orc_sec</t>
        </is>
      </c>
      <c r="O1" s="1" t="inlineStr">
        <is>
          <t>coins_per_hp</t>
        </is>
      </c>
    </row>
    <row r="2">
      <c r="A2" s="2" t="inlineStr">
        <is>
          <t>militia</t>
        </is>
      </c>
      <c r="B2" s="2" t="inlineStr">
        <is>
          <t>Ополчение</t>
        </is>
      </c>
      <c r="C2" s="2" t="n">
        <v>12</v>
      </c>
      <c r="D2" s="2" t="n">
        <v>5</v>
      </c>
      <c r="E2" s="3" t="n">
        <v>1.1</v>
      </c>
      <c r="F2" s="3" t="n">
        <v>1.4</v>
      </c>
      <c r="G2" s="3" t="n">
        <v>2.6</v>
      </c>
      <c r="H2" s="3" t="n">
        <v>1.5</v>
      </c>
      <c r="I2" s="2" t="n">
        <v>7</v>
      </c>
      <c r="J2" s="2" t="n">
        <v>25</v>
      </c>
      <c r="K2" s="2" t="n">
        <v>1</v>
      </c>
      <c r="L2" s="4">
        <f>IFERROR(D2/E2,0)</f>
        <v/>
      </c>
      <c r="M2" s="4">
        <f>IFERROR(CEILING($C$2/D2,1)*E2,0)</f>
        <v/>
      </c>
      <c r="N2" s="4">
        <f>IFERROR(CEILING($C$3/D2,1)*E2,0)</f>
        <v/>
      </c>
      <c r="O2" s="4">
        <f>IFERROR(J2/C2,0)</f>
        <v/>
      </c>
    </row>
    <row r="3">
      <c r="A3" s="2" t="inlineStr">
        <is>
          <t>orc</t>
        </is>
      </c>
      <c r="B3" s="2" t="inlineStr">
        <is>
          <t>Орк</t>
        </is>
      </c>
      <c r="C3" s="2" t="n">
        <v>20</v>
      </c>
      <c r="D3" s="2" t="n">
        <v>4</v>
      </c>
      <c r="E3" s="3" t="n">
        <v>1.2</v>
      </c>
      <c r="F3" s="3" t="n">
        <v>1.4</v>
      </c>
      <c r="G3" s="3" t="n">
        <v>3</v>
      </c>
      <c r="H3" s="3" t="n">
        <v>1.3</v>
      </c>
      <c r="I3" s="2" t="n">
        <v>6</v>
      </c>
      <c r="J3" s="2" t="n">
        <v>0</v>
      </c>
      <c r="K3" s="2" t="n">
        <v>0</v>
      </c>
      <c r="L3" s="4">
        <f>IFERROR(D3/E3,0)</f>
        <v/>
      </c>
      <c r="M3" s="4">
        <f>IFERROR(CEILING($C$2/D3,1)*E3,0)</f>
        <v/>
      </c>
      <c r="N3" s="4">
        <f>IFERROR(CEILING($C$3/D3,1)*E3,0)</f>
        <v/>
      </c>
      <c r="O3" s="4">
        <f>IFERROR(J3/C3,0)</f>
        <v/>
      </c>
    </row>
    <row r="5">
      <c r="A5" s="5" t="inlineStr">
        <is>
          <t>Жёлтые ячейки — правишь ты. Серые считаются формулами: их можно смотреть, но менять бессмысленно.</t>
        </is>
      </c>
    </row>
    <row r="6">
      <c r="A6" s="5" t="inlineStr">
        <is>
          <t>Колонки id и display_name читает код. Порядок колонок не важен — импортёр ищет их по названию, лишние колонки игнорирует.</t>
        </is>
      </c>
    </row>
    <row r="7">
      <c r="A7" s="5" t="inlineStr">
        <is>
          <t>Добавить нового юнита = добавить строку. Но код узнает о нём только когда для него появится тип в игре.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70" customWidth="1" min="3" max="3"/>
  </cols>
  <sheetData>
    <row r="1">
      <c r="A1" s="6" t="inlineStr">
        <is>
          <t>key</t>
        </is>
      </c>
      <c r="B1" s="6" t="inlineStr">
        <is>
          <t>value</t>
        </is>
      </c>
      <c r="C1" s="6" t="inlineStr">
        <is>
          <t>comment</t>
        </is>
      </c>
    </row>
    <row r="2">
      <c r="A2" s="7" t="inlineStr">
        <is>
          <t>army_max_size</t>
        </is>
      </c>
      <c r="B2" s="2" t="n">
        <v>20</v>
      </c>
      <c r="C2" s="8" t="inlineStr">
        <is>
          <t>Общий предел армии по всем группам</t>
        </is>
      </c>
    </row>
    <row r="3">
      <c r="A3" s="7" t="inlineStr">
        <is>
          <t>raid_interval_seconds</t>
        </is>
      </c>
      <c r="B3" s="2" t="n">
        <v>90</v>
      </c>
      <c r="C3" s="8" t="inlineStr">
        <is>
          <t>Через сколько секунд портал шлёт следующий набег</t>
        </is>
      </c>
    </row>
    <row r="4">
      <c r="A4" s="7" t="inlineStr">
        <is>
          <t>raid_base_size</t>
        </is>
      </c>
      <c r="B4" s="2" t="n">
        <v>2</v>
      </c>
      <c r="C4" s="8" t="inlineStr">
        <is>
          <t>Размер набега на первый день</t>
        </is>
      </c>
    </row>
    <row r="5">
      <c r="A5" s="7" t="inlineStr">
        <is>
          <t>raid_days_per_extra_raider</t>
        </is>
      </c>
      <c r="B5" s="2" t="n">
        <v>3</v>
      </c>
      <c r="C5" s="8" t="inlineStr">
        <is>
          <t>Каждые N дней в набеге на одного орка больше</t>
        </is>
      </c>
    </row>
    <row r="6">
      <c r="A6" s="7" t="inlineStr">
        <is>
          <t>raid_max_size</t>
        </is>
      </c>
      <c r="B6" s="2" t="n">
        <v>8</v>
      </c>
      <c r="C6" s="8" t="inlineStr">
        <is>
          <t>Потолок размера набега</t>
        </is>
      </c>
    </row>
    <row r="7">
      <c r="A7" s="7" t="inlineStr">
        <is>
          <t>portal_max_health</t>
        </is>
      </c>
      <c r="B7" s="2" t="n">
        <v>320</v>
      </c>
      <c r="C7" s="8" t="inlineStr">
        <is>
          <t>Запас прочности портала</t>
        </is>
      </c>
    </row>
    <row r="8">
      <c r="A8" s="7" t="inlineStr">
        <is>
          <t>defence_attack_interval_seconds</t>
        </is>
      </c>
      <c r="B8" s="2" t="n">
        <v>1</v>
      </c>
      <c r="C8" s="8" t="inlineStr">
        <is>
          <t>Как часто бьёт здание с защитой (стена/башня/казармы/ворота)</t>
        </is>
      </c>
    </row>
    <row r="9">
      <c r="A9" s="7" t="inlineStr">
        <is>
          <t>defence_attack_range_meters</t>
        </is>
      </c>
      <c r="B9" s="2" t="n">
        <v>6</v>
      </c>
      <c r="C9" s="8" t="inlineStr">
        <is>
          <t>Радиус обстрела здания с защитой</t>
        </is>
      </c>
    </row>
    <row r="10">
      <c r="A10" s="7" t="inlineStr">
        <is>
          <t>day_length_seconds</t>
        </is>
      </c>
      <c r="B10" s="2" t="n">
        <v>120</v>
      </c>
      <c r="C10" s="8" t="inlineStr">
        <is>
          <t>Длина игрового дня в реальных секундах</t>
        </is>
      </c>
    </row>
    <row r="11">
      <c r="A11" s="7" t="inlineStr">
        <is>
          <t>coins_per_citizen_per_day_at_max_tax</t>
        </is>
      </c>
      <c r="B11" s="2" t="n">
        <v>0.5</v>
      </c>
      <c r="C11" s="8" t="inlineStr">
        <is>
          <t>Монет с жителя в день при налоге 100%</t>
        </is>
      </c>
    </row>
    <row r="12">
      <c r="A12" s="7" t="inlineStr">
        <is>
          <t>decay_per_day_at_level1</t>
        </is>
      </c>
      <c r="B12" s="2" t="n">
        <v>0.02</v>
      </c>
      <c r="C12" s="8" t="inlineStr">
        <is>
          <t>Ветхость в день у здания 1 уровня; делится на уровень</t>
        </is>
      </c>
    </row>
    <row r="13">
      <c r="A13" s="7" t="inlineStr">
        <is>
          <t>decay_penalty_threshold</t>
        </is>
      </c>
      <c r="B13" s="2" t="n">
        <v>0.7</v>
      </c>
      <c r="C13" s="8" t="inlineStr">
        <is>
          <t>С какой ветхости начинает падать производство</t>
        </is>
      </c>
    </row>
    <row r="14">
      <c r="A14" s="7" t="inlineStr">
        <is>
          <t>min_decay_production_multiplier</t>
        </is>
      </c>
      <c r="B14" s="2" t="n">
        <v>0.5</v>
      </c>
      <c r="C14" s="8" t="inlineStr">
        <is>
          <t>Во сколько раз падает производство при 100% ветхости</t>
        </is>
      </c>
    </row>
    <row r="15">
      <c r="A15" s="7" t="inlineStr">
        <is>
          <t>repair_cost_fraction</t>
        </is>
      </c>
      <c r="B15" s="2" t="n">
        <v>0.4</v>
      </c>
      <c r="C15" s="8" t="inlineStr">
        <is>
          <t>Доля стоимости постройки за полный ремонт</t>
        </is>
      </c>
    </row>
    <row r="16">
      <c r="A16" s="7" t="inlineStr">
        <is>
          <t>wood_per_tree</t>
        </is>
      </c>
      <c r="B16" s="2" t="n">
        <v>5</v>
      </c>
      <c r="C16" s="8" t="inlineStr">
        <is>
          <t>Дерева за одно срубленное дерево вручную</t>
        </is>
      </c>
    </row>
    <row r="17">
      <c r="A17" s="7" t="inlineStr">
        <is>
          <t>stone_per_rock</t>
        </is>
      </c>
      <c r="B17" s="2" t="n">
        <v>4</v>
      </c>
      <c r="C17" s="8" t="inlineStr">
        <is>
          <t>Камня за один валун вручную</t>
        </is>
      </c>
    </row>
    <row r="18">
      <c r="A18" s="7" t="inlineStr">
        <is>
          <t>building_upgrade_level2_multiplier</t>
        </is>
      </c>
      <c r="B18" s="2" t="n">
        <v>1.6</v>
      </c>
      <c r="C18" s="8" t="inlineStr">
        <is>
          <t>Только для формул на вкладке buildings: код читает готовые up2_/up3_</t>
        </is>
      </c>
    </row>
    <row r="19">
      <c r="A19" s="7" t="inlineStr">
        <is>
          <t>building_upgrade_level3_multiplier</t>
        </is>
      </c>
      <c r="B19" s="2" t="n">
        <v>2.8</v>
      </c>
      <c r="C19" s="8" t="inlineStr">
        <is>
          <t>Только для формул на вкладке buildings: код читает готовые up2_/up3_</t>
        </is>
      </c>
    </row>
    <row r="21">
      <c r="A21" s="5" t="inlineStr">
        <is>
          <t>Ключи в колонке key читает код: переименование = потерянная настройка (импорт напишет об этом ошибкой).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15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6" customWidth="1" min="9" max="9"/>
    <col width="12" customWidth="1" min="10" max="10"/>
    <col width="11" customWidth="1" min="11" max="11"/>
    <col width="18" customWidth="1" min="12" max="12"/>
    <col width="20" customWidth="1" min="13" max="13"/>
    <col width="11" customWidth="1" min="14" max="14"/>
    <col width="10" customWidth="1" min="15" max="15"/>
    <col width="16" customWidth="1" min="16" max="16"/>
    <col width="13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60" customWidth="1" min="28" max="28"/>
    <col width="12" customWidth="1" min="29" max="29"/>
    <col width="12" customWidth="1" min="30" max="30"/>
    <col width="14" customWidth="1" min="31" max="31"/>
  </cols>
  <sheetData>
    <row r="1">
      <c r="A1" s="1" t="inlineStr">
        <is>
          <t>id</t>
        </is>
      </c>
      <c r="B1" s="1" t="inlineStr">
        <is>
          <t>display_name</t>
        </is>
      </c>
      <c r="C1" s="1" t="inlineStr">
        <is>
          <t>category</t>
        </is>
      </c>
      <c r="D1" s="1" t="inlineStr">
        <is>
          <t>cost_wood</t>
        </is>
      </c>
      <c r="E1" s="1" t="inlineStr">
        <is>
          <t>cost_stone</t>
        </is>
      </c>
      <c r="F1" s="1" t="inlineStr">
        <is>
          <t>cost_iron</t>
        </is>
      </c>
      <c r="G1" s="1" t="inlineStr">
        <is>
          <t>cost_coal</t>
        </is>
      </c>
      <c r="H1" s="1" t="inlineStr">
        <is>
          <t>cost_gold</t>
        </is>
      </c>
      <c r="I1" s="1" t="inlineStr">
        <is>
          <t>citizens_granted</t>
        </is>
      </c>
      <c r="J1" s="1" t="inlineStr">
        <is>
          <t>max_workers</t>
        </is>
      </c>
      <c r="K1" s="1" t="inlineStr">
        <is>
          <t>produces</t>
        </is>
      </c>
      <c r="L1" s="1" t="inlineStr">
        <is>
          <t>production_per_tick</t>
        </is>
      </c>
      <c r="M1" s="1" t="inlineStr">
        <is>
          <t>production_interval_sec</t>
        </is>
      </c>
      <c r="N1" s="1" t="inlineStr">
        <is>
          <t>max_health</t>
        </is>
      </c>
      <c r="O1" s="1" t="inlineStr">
        <is>
          <t>defense</t>
        </is>
      </c>
      <c r="P1" s="1" t="inlineStr">
        <is>
          <t>fog_reveal_radius</t>
        </is>
      </c>
      <c r="Q1" s="1" t="inlineStr">
        <is>
          <t>requires</t>
        </is>
      </c>
      <c r="R1" s="1" t="inlineStr">
        <is>
          <t>up2_wood</t>
        </is>
      </c>
      <c r="S1" s="1" t="inlineStr">
        <is>
          <t>up2_stone</t>
        </is>
      </c>
      <c r="T1" s="1" t="inlineStr">
        <is>
          <t>up2_iron</t>
        </is>
      </c>
      <c r="U1" s="1" t="inlineStr">
        <is>
          <t>up2_coal</t>
        </is>
      </c>
      <c r="V1" s="1" t="inlineStr">
        <is>
          <t>up2_gold</t>
        </is>
      </c>
      <c r="W1" s="1" t="inlineStr">
        <is>
          <t>up3_wood</t>
        </is>
      </c>
      <c r="X1" s="1" t="inlineStr">
        <is>
          <t>up3_stone</t>
        </is>
      </c>
      <c r="Y1" s="1" t="inlineStr">
        <is>
          <t>up3_iron</t>
        </is>
      </c>
      <c r="Z1" s="1" t="inlineStr">
        <is>
          <t>up3_coal</t>
        </is>
      </c>
      <c r="AA1" s="1" t="inlineStr">
        <is>
          <t>up3_gold</t>
        </is>
      </c>
      <c r="AB1" s="1" t="inlineStr">
        <is>
          <t>comment</t>
        </is>
      </c>
      <c r="AC1" s="1" t="inlineStr">
        <is>
          <t>total_cost</t>
        </is>
      </c>
      <c r="AD1" s="1" t="inlineStr">
        <is>
          <t>per_day</t>
        </is>
      </c>
      <c r="AE1" s="1" t="inlineStr">
        <is>
          <t>payback_days</t>
        </is>
      </c>
    </row>
    <row r="2">
      <c r="A2" s="2" t="inlineStr">
        <is>
          <t>House</t>
        </is>
      </c>
      <c r="B2" s="2" t="inlineStr">
        <is>
          <t>Дом</t>
        </is>
      </c>
      <c r="C2" s="2" t="inlineStr">
        <is>
          <t>Housing</t>
        </is>
      </c>
      <c r="D2" s="2" t="n">
        <v>10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5</v>
      </c>
      <c r="J2" s="2" t="n">
        <v>0</v>
      </c>
      <c r="K2" s="2" t="inlineStr"/>
      <c r="L2" s="2" t="n">
        <v>0</v>
      </c>
      <c r="M2" s="2" t="n">
        <v>6</v>
      </c>
      <c r="N2" s="2" t="n">
        <v>80</v>
      </c>
      <c r="O2" s="2" t="n">
        <v>0</v>
      </c>
      <c r="P2" s="2" t="n">
        <v>10</v>
      </c>
      <c r="Q2" s="2" t="inlineStr"/>
      <c r="R2" s="9">
        <f>IF(D2=0,0,MAX(1,ROUND(D2*INDEX(economy!B:B,MATCH("building_upgrade_level2_multiplier",economy!A:A,0)),0)))</f>
        <v/>
      </c>
      <c r="S2" s="9">
        <f>IF(E2=0,0,MAX(1,ROUND(E2*INDEX(economy!B:B,MATCH("building_upgrade_level2_multiplier",economy!A:A,0)),0)))</f>
        <v/>
      </c>
      <c r="T2" s="9">
        <f>IF(F2=0,0,MAX(1,ROUND(F2*INDEX(economy!B:B,MATCH("building_upgrade_level2_multiplier",economy!A:A,0)),0)))</f>
        <v/>
      </c>
      <c r="U2" s="9">
        <f>IF(G2=0,0,MAX(1,ROUND(G2*INDEX(economy!B:B,MATCH("building_upgrade_level2_multiplier",economy!A:A,0)),0)))</f>
        <v/>
      </c>
      <c r="V2" s="9">
        <f>IF(H2=0,0,MAX(1,ROUND(H2*INDEX(economy!B:B,MATCH("building_upgrade_level2_multiplier",economy!A:A,0)),0)))</f>
        <v/>
      </c>
      <c r="W2" s="9">
        <f>IF(D2=0,0,MAX(1,ROUND(D2*INDEX(economy!B:B,MATCH("building_upgrade_level3_multiplier",economy!A:A,0)),0)))</f>
        <v/>
      </c>
      <c r="X2" s="9">
        <f>IF(E2=0,0,MAX(1,ROUND(E2*INDEX(economy!B:B,MATCH("building_upgrade_level3_multiplier",economy!A:A,0)),0)))</f>
        <v/>
      </c>
      <c r="Y2" s="9">
        <f>IF(F2=0,0,MAX(1,ROUND(F2*INDEX(economy!B:B,MATCH("building_upgrade_level3_multiplier",economy!A:A,0)),0)))</f>
        <v/>
      </c>
      <c r="Z2" s="9">
        <f>IF(G2=0,0,MAX(1,ROUND(G2*INDEX(economy!B:B,MATCH("building_upgrade_level3_multiplier",economy!A:A,0)),0)))</f>
        <v/>
      </c>
      <c r="AA2" s="9">
        <f>IF(H2=0,0,MAX(1,ROUND(H2*INDEX(economy!B:B,MATCH("building_upgrade_level3_multiplier",economy!A:A,0)),0)))</f>
        <v/>
      </c>
      <c r="AB2" s="8" t="inlineStr"/>
      <c r="AC2" s="9">
        <f>SUM(D2:H2)</f>
        <v/>
      </c>
      <c r="AD2" s="10">
        <f>IF(M2=0,0,J2*L2*INDEX(economy!B:B,MATCH("day_length_seconds",economy!A:A,0))/M2)</f>
        <v/>
      </c>
      <c r="AE2" s="10">
        <f>IF(AD2=0,"",AC2/AD2)</f>
        <v/>
      </c>
    </row>
    <row r="3">
      <c r="A3" s="2" t="inlineStr">
        <is>
          <t>Cottage</t>
        </is>
      </c>
      <c r="B3" s="2" t="inlineStr">
        <is>
          <t>Коттедж</t>
        </is>
      </c>
      <c r="C3" s="2" t="inlineStr">
        <is>
          <t>Housing</t>
        </is>
      </c>
      <c r="D3" s="2" t="n">
        <v>25</v>
      </c>
      <c r="E3" s="2" t="n">
        <v>8</v>
      </c>
      <c r="F3" s="2" t="n">
        <v>0</v>
      </c>
      <c r="G3" s="2" t="n">
        <v>0</v>
      </c>
      <c r="H3" s="2" t="n">
        <v>0</v>
      </c>
      <c r="I3" s="2" t="n">
        <v>8</v>
      </c>
      <c r="J3" s="2" t="n">
        <v>0</v>
      </c>
      <c r="K3" s="2" t="inlineStr"/>
      <c r="L3" s="2" t="n">
        <v>0</v>
      </c>
      <c r="M3" s="2" t="n">
        <v>6</v>
      </c>
      <c r="N3" s="2" t="n">
        <v>120</v>
      </c>
      <c r="O3" s="2" t="n">
        <v>0</v>
      </c>
      <c r="P3" s="2" t="n">
        <v>10</v>
      </c>
      <c r="Q3" s="2" t="inlineStr">
        <is>
          <t>House</t>
        </is>
      </c>
      <c r="R3" s="9">
        <f>IF(D3=0,0,MAX(1,ROUND(D3*INDEX(economy!B:B,MATCH("building_upgrade_level2_multiplier",economy!A:A,0)),0)))</f>
        <v/>
      </c>
      <c r="S3" s="9">
        <f>IF(E3=0,0,MAX(1,ROUND(E3*INDEX(economy!B:B,MATCH("building_upgrade_level2_multiplier",economy!A:A,0)),0)))</f>
        <v/>
      </c>
      <c r="T3" s="9">
        <f>IF(F3=0,0,MAX(1,ROUND(F3*INDEX(economy!B:B,MATCH("building_upgrade_level2_multiplier",economy!A:A,0)),0)))</f>
        <v/>
      </c>
      <c r="U3" s="9">
        <f>IF(G3=0,0,MAX(1,ROUND(G3*INDEX(economy!B:B,MATCH("building_upgrade_level2_multiplier",economy!A:A,0)),0)))</f>
        <v/>
      </c>
      <c r="V3" s="9">
        <f>IF(H3=0,0,MAX(1,ROUND(H3*INDEX(economy!B:B,MATCH("building_upgrade_level2_multiplier",economy!A:A,0)),0)))</f>
        <v/>
      </c>
      <c r="W3" s="9">
        <f>IF(D3=0,0,MAX(1,ROUND(D3*INDEX(economy!B:B,MATCH("building_upgrade_level3_multiplier",economy!A:A,0)),0)))</f>
        <v/>
      </c>
      <c r="X3" s="9">
        <f>IF(E3=0,0,MAX(1,ROUND(E3*INDEX(economy!B:B,MATCH("building_upgrade_level3_multiplier",economy!A:A,0)),0)))</f>
        <v/>
      </c>
      <c r="Y3" s="9">
        <f>IF(F3=0,0,MAX(1,ROUND(F3*INDEX(economy!B:B,MATCH("building_upgrade_level3_multiplier",economy!A:A,0)),0)))</f>
        <v/>
      </c>
      <c r="Z3" s="9">
        <f>IF(G3=0,0,MAX(1,ROUND(G3*INDEX(economy!B:B,MATCH("building_upgrade_level3_multiplier",economy!A:A,0)),0)))</f>
        <v/>
      </c>
      <c r="AA3" s="9">
        <f>IF(H3=0,0,MAX(1,ROUND(H3*INDEX(economy!B:B,MATCH("building_upgrade_level3_multiplier",economy!A:A,0)),0)))</f>
        <v/>
      </c>
      <c r="AB3" s="8" t="inlineStr">
        <is>
          <t>Требует Дом: жильё поприличнее ставится только там, где уже есть базовое.</t>
        </is>
      </c>
      <c r="AC3" s="9">
        <f>SUM(D3:H3)</f>
        <v/>
      </c>
      <c r="AD3" s="10">
        <f>IF(M3=0,0,J3*L3*INDEX(economy!B:B,MATCH("day_length_seconds",economy!A:A,0))/M3)</f>
        <v/>
      </c>
      <c r="AE3" s="10">
        <f>IF(AD3=0,"",AC3/AD3)</f>
        <v/>
      </c>
    </row>
    <row r="4">
      <c r="A4" s="2" t="inlineStr">
        <is>
          <t>TownHall</t>
        </is>
      </c>
      <c r="B4" s="2" t="inlineStr">
        <is>
          <t>Ратуша</t>
        </is>
      </c>
      <c r="C4" s="2" t="inlineStr">
        <is>
          <t>Production</t>
        </is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5</v>
      </c>
      <c r="J4" s="2" t="n">
        <v>0</v>
      </c>
      <c r="K4" s="2" t="inlineStr"/>
      <c r="L4" s="2" t="n">
        <v>0</v>
      </c>
      <c r="M4" s="2" t="n">
        <v>6</v>
      </c>
      <c r="N4" s="2" t="n">
        <v>400</v>
      </c>
      <c r="O4" s="2" t="n">
        <v>20</v>
      </c>
      <c r="P4" s="2" t="n">
        <v>20</v>
      </c>
      <c r="Q4" s="2" t="inlineStr"/>
      <c r="R4" s="2" t="n">
        <v>100</v>
      </c>
      <c r="S4" s="2" t="n">
        <v>60</v>
      </c>
      <c r="T4" s="9">
        <f>IF(F4=0,0,MAX(1,ROUND(F4*INDEX(economy!B:B,MATCH("building_upgrade_level2_multiplier",economy!A:A,0)),0)))</f>
        <v/>
      </c>
      <c r="U4" s="9">
        <f>IF(G4=0,0,MAX(1,ROUND(G4*INDEX(economy!B:B,MATCH("building_upgrade_level2_multiplier",economy!A:A,0)),0)))</f>
        <v/>
      </c>
      <c r="V4" s="9">
        <f>IF(H4=0,0,MAX(1,ROUND(H4*INDEX(economy!B:B,MATCH("building_upgrade_level2_multiplier",economy!A:A,0)),0)))</f>
        <v/>
      </c>
      <c r="W4" s="2" t="n">
        <v>220</v>
      </c>
      <c r="X4" s="2" t="n">
        <v>150</v>
      </c>
      <c r="Y4" s="9">
        <f>IF(F4=0,0,MAX(1,ROUND(F4*INDEX(economy!B:B,MATCH("building_upgrade_level3_multiplier",economy!A:A,0)),0)))</f>
        <v/>
      </c>
      <c r="Z4" s="2" t="n">
        <v>20</v>
      </c>
      <c r="AA4" s="2" t="n">
        <v>40</v>
      </c>
      <c r="AB4" s="8" t="inlineStr">
        <is>
          <t>Ставится бесплатно, поэтому стоимости апгрейдов заданы руками, а не формулой от базовой цены.</t>
        </is>
      </c>
      <c r="AC4" s="9">
        <f>SUM(D4:H4)</f>
        <v/>
      </c>
      <c r="AD4" s="10">
        <f>IF(M4=0,0,J4*L4*INDEX(economy!B:B,MATCH("day_length_seconds",economy!A:A,0))/M4)</f>
        <v/>
      </c>
      <c r="AE4" s="10">
        <f>IF(AD4=0,"",AC4/AD4)</f>
        <v/>
      </c>
    </row>
    <row r="5">
      <c r="A5" s="2" t="inlineStr">
        <is>
          <t>FishermanHut</t>
        </is>
      </c>
      <c r="B5" s="2" t="inlineStr">
        <is>
          <t>Хижина рыбака</t>
        </is>
      </c>
      <c r="C5" s="2" t="inlineStr">
        <is>
          <t>Food</t>
        </is>
      </c>
      <c r="D5" s="2" t="n">
        <v>15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2</v>
      </c>
      <c r="K5" s="2" t="inlineStr">
        <is>
          <t>Food</t>
        </is>
      </c>
      <c r="L5" s="2" t="n">
        <v>2</v>
      </c>
      <c r="M5" s="2" t="n">
        <v>6</v>
      </c>
      <c r="N5" s="2" t="n">
        <v>90</v>
      </c>
      <c r="O5" s="2" t="n">
        <v>0</v>
      </c>
      <c r="P5" s="2" t="n">
        <v>12</v>
      </c>
      <c r="Q5" s="2" t="inlineStr"/>
      <c r="R5" s="9">
        <f>IF(D5=0,0,MAX(1,ROUND(D5*INDEX(economy!B:B,MATCH("building_upgrade_level2_multiplier",economy!A:A,0)),0)))</f>
        <v/>
      </c>
      <c r="S5" s="9">
        <f>IF(E5=0,0,MAX(1,ROUND(E5*INDEX(economy!B:B,MATCH("building_upgrade_level2_multiplier",economy!A:A,0)),0)))</f>
        <v/>
      </c>
      <c r="T5" s="9">
        <f>IF(F5=0,0,MAX(1,ROUND(F5*INDEX(economy!B:B,MATCH("building_upgrade_level2_multiplier",economy!A:A,0)),0)))</f>
        <v/>
      </c>
      <c r="U5" s="9">
        <f>IF(G5=0,0,MAX(1,ROUND(G5*INDEX(economy!B:B,MATCH("building_upgrade_level2_multiplier",economy!A:A,0)),0)))</f>
        <v/>
      </c>
      <c r="V5" s="9">
        <f>IF(H5=0,0,MAX(1,ROUND(H5*INDEX(economy!B:B,MATCH("building_upgrade_level2_multiplier",economy!A:A,0)),0)))</f>
        <v/>
      </c>
      <c r="W5" s="9">
        <f>IF(D5=0,0,MAX(1,ROUND(D5*INDEX(economy!B:B,MATCH("building_upgrade_level3_multiplier",economy!A:A,0)),0)))</f>
        <v/>
      </c>
      <c r="X5" s="9">
        <f>IF(E5=0,0,MAX(1,ROUND(E5*INDEX(economy!B:B,MATCH("building_upgrade_level3_multiplier",economy!A:A,0)),0)))</f>
        <v/>
      </c>
      <c r="Y5" s="9">
        <f>IF(F5=0,0,MAX(1,ROUND(F5*INDEX(economy!B:B,MATCH("building_upgrade_level3_multiplier",economy!A:A,0)),0)))</f>
        <v/>
      </c>
      <c r="Z5" s="9">
        <f>IF(G5=0,0,MAX(1,ROUND(G5*INDEX(economy!B:B,MATCH("building_upgrade_level3_multiplier",economy!A:A,0)),0)))</f>
        <v/>
      </c>
      <c r="AA5" s="9">
        <f>IF(H5=0,0,MAX(1,ROUND(H5*INDEX(economy!B:B,MATCH("building_upgrade_level3_multiplier",economy!A:A,0)),0)))</f>
        <v/>
      </c>
      <c r="AB5" s="8" t="inlineStr"/>
      <c r="AC5" s="9">
        <f>SUM(D5:H5)</f>
        <v/>
      </c>
      <c r="AD5" s="10">
        <f>IF(M5=0,0,J5*L5*INDEX(economy!B:B,MATCH("day_length_seconds",economy!A:A,0))/M5)</f>
        <v/>
      </c>
      <c r="AE5" s="10">
        <f>IF(AD5=0,"",AC5/AD5)</f>
        <v/>
      </c>
    </row>
    <row r="6">
      <c r="A6" s="2" t="inlineStr">
        <is>
          <t>HunterHut</t>
        </is>
      </c>
      <c r="B6" s="2" t="inlineStr">
        <is>
          <t>Хижина охотника</t>
        </is>
      </c>
      <c r="C6" s="2" t="inlineStr">
        <is>
          <t>Food</t>
        </is>
      </c>
      <c r="D6" s="2" t="n">
        <v>15</v>
      </c>
      <c r="E6" s="2" t="n">
        <v>5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2</v>
      </c>
      <c r="K6" s="2" t="inlineStr">
        <is>
          <t>Food</t>
        </is>
      </c>
      <c r="L6" s="2" t="n">
        <v>2</v>
      </c>
      <c r="M6" s="2" t="n">
        <v>6</v>
      </c>
      <c r="N6" s="2" t="n">
        <v>90</v>
      </c>
      <c r="O6" s="2" t="n">
        <v>0</v>
      </c>
      <c r="P6" s="2" t="n">
        <v>14</v>
      </c>
      <c r="Q6" s="2" t="inlineStr"/>
      <c r="R6" s="9">
        <f>IF(D6=0,0,MAX(1,ROUND(D6*INDEX(economy!B:B,MATCH("building_upgrade_level2_multiplier",economy!A:A,0)),0)))</f>
        <v/>
      </c>
      <c r="S6" s="9">
        <f>IF(E6=0,0,MAX(1,ROUND(E6*INDEX(economy!B:B,MATCH("building_upgrade_level2_multiplier",economy!A:A,0)),0)))</f>
        <v/>
      </c>
      <c r="T6" s="9">
        <f>IF(F6=0,0,MAX(1,ROUND(F6*INDEX(economy!B:B,MATCH("building_upgrade_level2_multiplier",economy!A:A,0)),0)))</f>
        <v/>
      </c>
      <c r="U6" s="9">
        <f>IF(G6=0,0,MAX(1,ROUND(G6*INDEX(economy!B:B,MATCH("building_upgrade_level2_multiplier",economy!A:A,0)),0)))</f>
        <v/>
      </c>
      <c r="V6" s="9">
        <f>IF(H6=0,0,MAX(1,ROUND(H6*INDEX(economy!B:B,MATCH("building_upgrade_level2_multiplier",economy!A:A,0)),0)))</f>
        <v/>
      </c>
      <c r="W6" s="9">
        <f>IF(D6=0,0,MAX(1,ROUND(D6*INDEX(economy!B:B,MATCH("building_upgrade_level3_multiplier",economy!A:A,0)),0)))</f>
        <v/>
      </c>
      <c r="X6" s="9">
        <f>IF(E6=0,0,MAX(1,ROUND(E6*INDEX(economy!B:B,MATCH("building_upgrade_level3_multiplier",economy!A:A,0)),0)))</f>
        <v/>
      </c>
      <c r="Y6" s="9">
        <f>IF(F6=0,0,MAX(1,ROUND(F6*INDEX(economy!B:B,MATCH("building_upgrade_level3_multiplier",economy!A:A,0)),0)))</f>
        <v/>
      </c>
      <c r="Z6" s="9">
        <f>IF(G6=0,0,MAX(1,ROUND(G6*INDEX(economy!B:B,MATCH("building_upgrade_level3_multiplier",economy!A:A,0)),0)))</f>
        <v/>
      </c>
      <c r="AA6" s="9">
        <f>IF(H6=0,0,MAX(1,ROUND(H6*INDEX(economy!B:B,MATCH("building_upgrade_level3_multiplier",economy!A:A,0)),0)))</f>
        <v/>
      </c>
      <c r="AB6" s="8" t="inlineStr"/>
      <c r="AC6" s="9">
        <f>SUM(D6:H6)</f>
        <v/>
      </c>
      <c r="AD6" s="10">
        <f>IF(M6=0,0,J6*L6*INDEX(economy!B:B,MATCH("day_length_seconds",economy!A:A,0))/M6)</f>
        <v/>
      </c>
      <c r="AE6" s="10">
        <f>IF(AD6=0,"",AC6/AD6)</f>
        <v/>
      </c>
    </row>
    <row r="7">
      <c r="A7" s="2" t="inlineStr">
        <is>
          <t>Farm</t>
        </is>
      </c>
      <c r="B7" s="2" t="inlineStr">
        <is>
          <t>Ферма</t>
        </is>
      </c>
      <c r="C7" s="2" t="inlineStr">
        <is>
          <t>Food</t>
        </is>
      </c>
      <c r="D7" s="2" t="n">
        <v>15</v>
      </c>
      <c r="E7" s="2" t="n">
        <v>5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3</v>
      </c>
      <c r="K7" s="2" t="inlineStr">
        <is>
          <t>Food</t>
        </is>
      </c>
      <c r="L7" s="2" t="n">
        <v>3</v>
      </c>
      <c r="M7" s="2" t="n">
        <v>6</v>
      </c>
      <c r="N7" s="2" t="n">
        <v>70</v>
      </c>
      <c r="O7" s="2" t="n">
        <v>0</v>
      </c>
      <c r="P7" s="2" t="n">
        <v>10</v>
      </c>
      <c r="Q7" s="2" t="inlineStr"/>
      <c r="R7" s="9">
        <f>IF(D7=0,0,MAX(1,ROUND(D7*INDEX(economy!B:B,MATCH("building_upgrade_level2_multiplier",economy!A:A,0)),0)))</f>
        <v/>
      </c>
      <c r="S7" s="9">
        <f>IF(E7=0,0,MAX(1,ROUND(E7*INDEX(economy!B:B,MATCH("building_upgrade_level2_multiplier",economy!A:A,0)),0)))</f>
        <v/>
      </c>
      <c r="T7" s="9">
        <f>IF(F7=0,0,MAX(1,ROUND(F7*INDEX(economy!B:B,MATCH("building_upgrade_level2_multiplier",economy!A:A,0)),0)))</f>
        <v/>
      </c>
      <c r="U7" s="9">
        <f>IF(G7=0,0,MAX(1,ROUND(G7*INDEX(economy!B:B,MATCH("building_upgrade_level2_multiplier",economy!A:A,0)),0)))</f>
        <v/>
      </c>
      <c r="V7" s="9">
        <f>IF(H7=0,0,MAX(1,ROUND(H7*INDEX(economy!B:B,MATCH("building_upgrade_level2_multiplier",economy!A:A,0)),0)))</f>
        <v/>
      </c>
      <c r="W7" s="9">
        <f>IF(D7=0,0,MAX(1,ROUND(D7*INDEX(economy!B:B,MATCH("building_upgrade_level3_multiplier",economy!A:A,0)),0)))</f>
        <v/>
      </c>
      <c r="X7" s="9">
        <f>IF(E7=0,0,MAX(1,ROUND(E7*INDEX(economy!B:B,MATCH("building_upgrade_level3_multiplier",economy!A:A,0)),0)))</f>
        <v/>
      </c>
      <c r="Y7" s="9">
        <f>IF(F7=0,0,MAX(1,ROUND(F7*INDEX(economy!B:B,MATCH("building_upgrade_level3_multiplier",economy!A:A,0)),0)))</f>
        <v/>
      </c>
      <c r="Z7" s="9">
        <f>IF(G7=0,0,MAX(1,ROUND(G7*INDEX(economy!B:B,MATCH("building_upgrade_level3_multiplier",economy!A:A,0)),0)))</f>
        <v/>
      </c>
      <c r="AA7" s="9">
        <f>IF(H7=0,0,MAX(1,ROUND(H7*INDEX(economy!B:B,MATCH("building_upgrade_level3_multiplier",economy!A:A,0)),0)))</f>
        <v/>
      </c>
      <c r="AB7" s="8" t="inlineStr"/>
      <c r="AC7" s="9">
        <f>SUM(D7:H7)</f>
        <v/>
      </c>
      <c r="AD7" s="10">
        <f>IF(M7=0,0,J7*L7*INDEX(economy!B:B,MATCH("day_length_seconds",economy!A:A,0))/M7)</f>
        <v/>
      </c>
      <c r="AE7" s="10">
        <f>IF(AD7=0,"",AC7/AD7)</f>
        <v/>
      </c>
    </row>
    <row r="8">
      <c r="A8" s="2" t="inlineStr">
        <is>
          <t>Lumberjack</t>
        </is>
      </c>
      <c r="B8" s="2" t="inlineStr">
        <is>
          <t>Лесопилка</t>
        </is>
      </c>
      <c r="C8" s="2" t="inlineStr">
        <is>
          <t>Production</t>
        </is>
      </c>
      <c r="D8" s="2" t="n">
        <v>20</v>
      </c>
      <c r="E8" s="2" t="n">
        <v>5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3</v>
      </c>
      <c r="K8" s="2" t="inlineStr">
        <is>
          <t>Wood</t>
        </is>
      </c>
      <c r="L8" s="2" t="n">
        <v>2</v>
      </c>
      <c r="M8" s="2" t="n">
        <v>6</v>
      </c>
      <c r="N8" s="2" t="n">
        <v>100</v>
      </c>
      <c r="O8" s="2" t="n">
        <v>0</v>
      </c>
      <c r="P8" s="2" t="n">
        <v>15</v>
      </c>
      <c r="Q8" s="2" t="inlineStr"/>
      <c r="R8" s="9">
        <f>IF(D8=0,0,MAX(1,ROUND(D8*INDEX(economy!B:B,MATCH("building_upgrade_level2_multiplier",economy!A:A,0)),0)))</f>
        <v/>
      </c>
      <c r="S8" s="9">
        <f>IF(E8=0,0,MAX(1,ROUND(E8*INDEX(economy!B:B,MATCH("building_upgrade_level2_multiplier",economy!A:A,0)),0)))</f>
        <v/>
      </c>
      <c r="T8" s="9">
        <f>IF(F8=0,0,MAX(1,ROUND(F8*INDEX(economy!B:B,MATCH("building_upgrade_level2_multiplier",economy!A:A,0)),0)))</f>
        <v/>
      </c>
      <c r="U8" s="9">
        <f>IF(G8=0,0,MAX(1,ROUND(G8*INDEX(economy!B:B,MATCH("building_upgrade_level2_multiplier",economy!A:A,0)),0)))</f>
        <v/>
      </c>
      <c r="V8" s="9">
        <f>IF(H8=0,0,MAX(1,ROUND(H8*INDEX(economy!B:B,MATCH("building_upgrade_level2_multiplier",economy!A:A,0)),0)))</f>
        <v/>
      </c>
      <c r="W8" s="9">
        <f>IF(D8=0,0,MAX(1,ROUND(D8*INDEX(economy!B:B,MATCH("building_upgrade_level3_multiplier",economy!A:A,0)),0)))</f>
        <v/>
      </c>
      <c r="X8" s="9">
        <f>IF(E8=0,0,MAX(1,ROUND(E8*INDEX(economy!B:B,MATCH("building_upgrade_level3_multiplier",economy!A:A,0)),0)))</f>
        <v/>
      </c>
      <c r="Y8" s="9">
        <f>IF(F8=0,0,MAX(1,ROUND(F8*INDEX(economy!B:B,MATCH("building_upgrade_level3_multiplier",economy!A:A,0)),0)))</f>
        <v/>
      </c>
      <c r="Z8" s="9">
        <f>IF(G8=0,0,MAX(1,ROUND(G8*INDEX(economy!B:B,MATCH("building_upgrade_level3_multiplier",economy!A:A,0)),0)))</f>
        <v/>
      </c>
      <c r="AA8" s="9">
        <f>IF(H8=0,0,MAX(1,ROUND(H8*INDEX(economy!B:B,MATCH("building_upgrade_level3_multiplier",economy!A:A,0)),0)))</f>
        <v/>
      </c>
      <c r="AB8" s="8" t="inlineStr"/>
      <c r="AC8" s="9">
        <f>SUM(D8:H8)</f>
        <v/>
      </c>
      <c r="AD8" s="10">
        <f>IF(M8=0,0,J8*L8*INDEX(economy!B:B,MATCH("day_length_seconds",economy!A:A,0))/M8)</f>
        <v/>
      </c>
      <c r="AE8" s="10">
        <f>IF(AD8=0,"",AC8/AD8)</f>
        <v/>
      </c>
    </row>
    <row r="9">
      <c r="A9" s="2" t="inlineStr">
        <is>
          <t>Quarry</t>
        </is>
      </c>
      <c r="B9" s="2" t="inlineStr">
        <is>
          <t>Каменоломня</t>
        </is>
      </c>
      <c r="C9" s="2" t="inlineStr">
        <is>
          <t>Production</t>
        </is>
      </c>
      <c r="D9" s="2" t="n">
        <v>20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3</v>
      </c>
      <c r="K9" s="2" t="inlineStr">
        <is>
          <t>Stone</t>
        </is>
      </c>
      <c r="L9" s="2" t="n">
        <v>2</v>
      </c>
      <c r="M9" s="2" t="n">
        <v>6</v>
      </c>
      <c r="N9" s="2" t="n">
        <v>110</v>
      </c>
      <c r="O9" s="2" t="n">
        <v>0</v>
      </c>
      <c r="P9" s="2" t="n">
        <v>14</v>
      </c>
      <c r="Q9" s="2" t="inlineStr"/>
      <c r="R9" s="9">
        <f>IF(D9=0,0,MAX(1,ROUND(D9*INDEX(economy!B:B,MATCH("building_upgrade_level2_multiplier",economy!A:A,0)),0)))</f>
        <v/>
      </c>
      <c r="S9" s="9">
        <f>IF(E9=0,0,MAX(1,ROUND(E9*INDEX(economy!B:B,MATCH("building_upgrade_level2_multiplier",economy!A:A,0)),0)))</f>
        <v/>
      </c>
      <c r="T9" s="9">
        <f>IF(F9=0,0,MAX(1,ROUND(F9*INDEX(economy!B:B,MATCH("building_upgrade_level2_multiplier",economy!A:A,0)),0)))</f>
        <v/>
      </c>
      <c r="U9" s="9">
        <f>IF(G9=0,0,MAX(1,ROUND(G9*INDEX(economy!B:B,MATCH("building_upgrade_level2_multiplier",economy!A:A,0)),0)))</f>
        <v/>
      </c>
      <c r="V9" s="9">
        <f>IF(H9=0,0,MAX(1,ROUND(H9*INDEX(economy!B:B,MATCH("building_upgrade_level2_multiplier",economy!A:A,0)),0)))</f>
        <v/>
      </c>
      <c r="W9" s="9">
        <f>IF(D9=0,0,MAX(1,ROUND(D9*INDEX(economy!B:B,MATCH("building_upgrade_level3_multiplier",economy!A:A,0)),0)))</f>
        <v/>
      </c>
      <c r="X9" s="9">
        <f>IF(E9=0,0,MAX(1,ROUND(E9*INDEX(economy!B:B,MATCH("building_upgrade_level3_multiplier",economy!A:A,0)),0)))</f>
        <v/>
      </c>
      <c r="Y9" s="9">
        <f>IF(F9=0,0,MAX(1,ROUND(F9*INDEX(economy!B:B,MATCH("building_upgrade_level3_multiplier",economy!A:A,0)),0)))</f>
        <v/>
      </c>
      <c r="Z9" s="9">
        <f>IF(G9=0,0,MAX(1,ROUND(G9*INDEX(economy!B:B,MATCH("building_upgrade_level3_multiplier",economy!A:A,0)),0)))</f>
        <v/>
      </c>
      <c r="AA9" s="9">
        <f>IF(H9=0,0,MAX(1,ROUND(H9*INDEX(economy!B:B,MATCH("building_upgrade_level3_multiplier",economy!A:A,0)),0)))</f>
        <v/>
      </c>
      <c r="AB9" s="8" t="inlineStr"/>
      <c r="AC9" s="9">
        <f>SUM(D9:H9)</f>
        <v/>
      </c>
      <c r="AD9" s="10">
        <f>IF(M9=0,0,J9*L9*INDEX(economy!B:B,MATCH("day_length_seconds",economy!A:A,0))/M9)</f>
        <v/>
      </c>
      <c r="AE9" s="10">
        <f>IF(AD9=0,"",AC9/AD9)</f>
        <v/>
      </c>
    </row>
    <row r="10">
      <c r="A10" s="2" t="inlineStr">
        <is>
          <t>Mine</t>
        </is>
      </c>
      <c r="B10" s="2" t="inlineStr">
        <is>
          <t>Шахта</t>
        </is>
      </c>
      <c r="C10" s="2" t="inlineStr">
        <is>
          <t>Production</t>
        </is>
      </c>
      <c r="D10" s="2" t="n">
        <v>25</v>
      </c>
      <c r="E10" s="2" t="n">
        <v>15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</v>
      </c>
      <c r="K10" s="2" t="inlineStr">
        <is>
          <t>Iron</t>
        </is>
      </c>
      <c r="L10" s="2" t="n">
        <v>1</v>
      </c>
      <c r="M10" s="2" t="n">
        <v>6</v>
      </c>
      <c r="N10" s="2" t="n">
        <v>110</v>
      </c>
      <c r="O10" s="2" t="n">
        <v>0</v>
      </c>
      <c r="P10" s="2" t="n">
        <v>14</v>
      </c>
      <c r="Q10" s="2" t="inlineStr"/>
      <c r="R10" s="9">
        <f>IF(D10=0,0,MAX(1,ROUND(D10*INDEX(economy!B:B,MATCH("building_upgrade_level2_multiplier",economy!A:A,0)),0)))</f>
        <v/>
      </c>
      <c r="S10" s="9">
        <f>IF(E10=0,0,MAX(1,ROUND(E10*INDEX(economy!B:B,MATCH("building_upgrade_level2_multiplier",economy!A:A,0)),0)))</f>
        <v/>
      </c>
      <c r="T10" s="9">
        <f>IF(F10=0,0,MAX(1,ROUND(F10*INDEX(economy!B:B,MATCH("building_upgrade_level2_multiplier",economy!A:A,0)),0)))</f>
        <v/>
      </c>
      <c r="U10" s="2" t="n">
        <v>10</v>
      </c>
      <c r="V10" s="9">
        <f>IF(H10=0,0,MAX(1,ROUND(H10*INDEX(economy!B:B,MATCH("building_upgrade_level2_multiplier",economy!A:A,0)),0)))</f>
        <v/>
      </c>
      <c r="W10" s="9">
        <f>IF(D10=0,0,MAX(1,ROUND(D10*INDEX(economy!B:B,MATCH("building_upgrade_level3_multiplier",economy!A:A,0)),0)))</f>
        <v/>
      </c>
      <c r="X10" s="9">
        <f>IF(E10=0,0,MAX(1,ROUND(E10*INDEX(economy!B:B,MATCH("building_upgrade_level3_multiplier",economy!A:A,0)),0)))</f>
        <v/>
      </c>
      <c r="Y10" s="9">
        <f>IF(F10=0,0,MAX(1,ROUND(F10*INDEX(economy!B:B,MATCH("building_upgrade_level3_multiplier",economy!A:A,0)),0)))</f>
        <v/>
      </c>
      <c r="Z10" s="2" t="n">
        <v>22</v>
      </c>
      <c r="AA10" s="9">
        <f>IF(H10=0,0,MAX(1,ROUND(H10*INDEX(economy!B:B,MATCH("building_upgrade_level3_multiplier",economy!A:A,0)),0)))</f>
        <v/>
      </c>
      <c r="AB10" s="8" t="inlineStr">
        <is>
          <t>Копать глубже за рудой = топливо для горна и насосов, поэтому в апгрейдах уголь.</t>
        </is>
      </c>
      <c r="AC10" s="9">
        <f>SUM(D10:H10)</f>
        <v/>
      </c>
      <c r="AD10" s="10">
        <f>IF(M10=0,0,J10*L10*INDEX(economy!B:B,MATCH("day_length_seconds",economy!A:A,0))/M10)</f>
        <v/>
      </c>
      <c r="AE10" s="10">
        <f>IF(AD10=0,"",AC10/AD10)</f>
        <v/>
      </c>
    </row>
    <row r="11">
      <c r="A11" s="2" t="inlineStr">
        <is>
          <t>CoalMine</t>
        </is>
      </c>
      <c r="B11" s="2" t="inlineStr">
        <is>
          <t>Угольная шахта</t>
        </is>
      </c>
      <c r="C11" s="2" t="inlineStr">
        <is>
          <t>Production</t>
        </is>
      </c>
      <c r="D11" s="2" t="n">
        <v>25</v>
      </c>
      <c r="E11" s="2" t="n">
        <v>10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</v>
      </c>
      <c r="K11" s="2" t="inlineStr">
        <is>
          <t>Coal</t>
        </is>
      </c>
      <c r="L11" s="2" t="n">
        <v>2</v>
      </c>
      <c r="M11" s="2" t="n">
        <v>6</v>
      </c>
      <c r="N11" s="2" t="n">
        <v>100</v>
      </c>
      <c r="O11" s="2" t="n">
        <v>0</v>
      </c>
      <c r="P11" s="2" t="n">
        <v>14</v>
      </c>
      <c r="Q11" s="2" t="inlineStr"/>
      <c r="R11" s="9">
        <f>IF(D11=0,0,MAX(1,ROUND(D11*INDEX(economy!B:B,MATCH("building_upgrade_level2_multiplier",economy!A:A,0)),0)))</f>
        <v/>
      </c>
      <c r="S11" s="9">
        <f>IF(E11=0,0,MAX(1,ROUND(E11*INDEX(economy!B:B,MATCH("building_upgrade_level2_multiplier",economy!A:A,0)),0)))</f>
        <v/>
      </c>
      <c r="T11" s="2" t="n">
        <v>6</v>
      </c>
      <c r="U11" s="9">
        <f>IF(G11=0,0,MAX(1,ROUND(G11*INDEX(economy!B:B,MATCH("building_upgrade_level2_multiplier",economy!A:A,0)),0)))</f>
        <v/>
      </c>
      <c r="V11" s="9">
        <f>IF(H11=0,0,MAX(1,ROUND(H11*INDEX(economy!B:B,MATCH("building_upgrade_level2_multiplier",economy!A:A,0)),0)))</f>
        <v/>
      </c>
      <c r="W11" s="9">
        <f>IF(D11=0,0,MAX(1,ROUND(D11*INDEX(economy!B:B,MATCH("building_upgrade_level3_multiplier",economy!A:A,0)),0)))</f>
        <v/>
      </c>
      <c r="X11" s="9">
        <f>IF(E11=0,0,MAX(1,ROUND(E11*INDEX(economy!B:B,MATCH("building_upgrade_level3_multiplier",economy!A:A,0)),0)))</f>
        <v/>
      </c>
      <c r="Y11" s="2" t="n">
        <v>14</v>
      </c>
      <c r="Z11" s="9">
        <f>IF(G11=0,0,MAX(1,ROUND(G11*INDEX(economy!B:B,MATCH("building_upgrade_level3_multiplier",economy!A:A,0)),0)))</f>
        <v/>
      </c>
      <c r="AA11" s="9">
        <f>IF(H11=0,0,MAX(1,ROUND(H11*INDEX(economy!B:B,MATCH("building_upgrade_level3_multiplier",economy!A:A,0)),0)))</f>
        <v/>
      </c>
      <c r="AB11" s="8" t="inlineStr">
        <is>
          <t>Железная крепь для глубоких пластов — связывает две шахты друг с другом.</t>
        </is>
      </c>
      <c r="AC11" s="9">
        <f>SUM(D11:H11)</f>
        <v/>
      </c>
      <c r="AD11" s="10">
        <f>IF(M11=0,0,J11*L11*INDEX(economy!B:B,MATCH("day_length_seconds",economy!A:A,0))/M11)</f>
        <v/>
      </c>
      <c r="AE11" s="10">
        <f>IF(AD11=0,"",AC11/AD11)</f>
        <v/>
      </c>
    </row>
    <row r="12">
      <c r="A12" s="2" t="inlineStr">
        <is>
          <t>Wall</t>
        </is>
      </c>
      <c r="B12" s="2" t="inlineStr">
        <is>
          <t>Стена</t>
        </is>
      </c>
      <c r="C12" s="2" t="inlineStr">
        <is>
          <t>Military</t>
        </is>
      </c>
      <c r="D12" s="2" t="n">
        <v>0</v>
      </c>
      <c r="E12" s="2" t="n">
        <v>5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inlineStr"/>
      <c r="L12" s="2" t="n">
        <v>0</v>
      </c>
      <c r="M12" s="2" t="n">
        <v>6</v>
      </c>
      <c r="N12" s="2" t="n">
        <v>150</v>
      </c>
      <c r="O12" s="2" t="n">
        <v>15</v>
      </c>
      <c r="P12" s="2" t="n">
        <v>6</v>
      </c>
      <c r="Q12" s="2" t="inlineStr"/>
      <c r="R12" s="9">
        <f>IF(D12=0,0,MAX(1,ROUND(D12*INDEX(economy!B:B,MATCH("building_upgrade_level2_multiplier",economy!A:A,0)),0)))</f>
        <v/>
      </c>
      <c r="S12" s="9">
        <f>IF(E12=0,0,MAX(1,ROUND(E12*INDEX(economy!B:B,MATCH("building_upgrade_level2_multiplier",economy!A:A,0)),0)))</f>
        <v/>
      </c>
      <c r="T12" s="2" t="n">
        <v>6</v>
      </c>
      <c r="U12" s="9">
        <f>IF(G12=0,0,MAX(1,ROUND(G12*INDEX(economy!B:B,MATCH("building_upgrade_level2_multiplier",economy!A:A,0)),0)))</f>
        <v/>
      </c>
      <c r="V12" s="9">
        <f>IF(H12=0,0,MAX(1,ROUND(H12*INDEX(economy!B:B,MATCH("building_upgrade_level2_multiplier",economy!A:A,0)),0)))</f>
        <v/>
      </c>
      <c r="W12" s="9">
        <f>IF(D12=0,0,MAX(1,ROUND(D12*INDEX(economy!B:B,MATCH("building_upgrade_level3_multiplier",economy!A:A,0)),0)))</f>
        <v/>
      </c>
      <c r="X12" s="9">
        <f>IF(E12=0,0,MAX(1,ROUND(E12*INDEX(economy!B:B,MATCH("building_upgrade_level3_multiplier",economy!A:A,0)),0)))</f>
        <v/>
      </c>
      <c r="Y12" s="2" t="n">
        <v>14</v>
      </c>
      <c r="Z12" s="9">
        <f>IF(G12=0,0,MAX(1,ROUND(G12*INDEX(economy!B:B,MATCH("building_upgrade_level3_multiplier",economy!A:A,0)),0)))</f>
        <v/>
      </c>
      <c r="AA12" s="9">
        <f>IF(H12=0,0,MAX(1,ROUND(H12*INDEX(economy!B:B,MATCH("building_upgrade_level3_multiplier",economy!A:A,0)),0)))</f>
        <v/>
      </c>
      <c r="AB12" s="8" t="inlineStr">
        <is>
          <t>Железо в апгрейдах у всей линии обороны: сначала цепочка Шахта → железо, потом крепкие стены.</t>
        </is>
      </c>
      <c r="AC12" s="9">
        <f>SUM(D12:H12)</f>
        <v/>
      </c>
      <c r="AD12" s="10">
        <f>IF(M12=0,0,J12*L12*INDEX(economy!B:B,MATCH("day_length_seconds",economy!A:A,0))/M12)</f>
        <v/>
      </c>
      <c r="AE12" s="10">
        <f>IF(AD12=0,"",AC12/AD12)</f>
        <v/>
      </c>
    </row>
    <row r="13">
      <c r="A13" s="2" t="inlineStr">
        <is>
          <t>Tower</t>
        </is>
      </c>
      <c r="B13" s="2" t="inlineStr">
        <is>
          <t>Башня</t>
        </is>
      </c>
      <c r="C13" s="2" t="inlineStr">
        <is>
          <t>Military</t>
        </is>
      </c>
      <c r="D13" s="2" t="n">
        <v>5</v>
      </c>
      <c r="E13" s="2" t="n">
        <v>15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inlineStr"/>
      <c r="L13" s="2" t="n">
        <v>0</v>
      </c>
      <c r="M13" s="2" t="n">
        <v>6</v>
      </c>
      <c r="N13" s="2" t="n">
        <v>220</v>
      </c>
      <c r="O13" s="2" t="n">
        <v>25</v>
      </c>
      <c r="P13" s="2" t="n">
        <v>18</v>
      </c>
      <c r="Q13" s="2" t="inlineStr">
        <is>
          <t>Wall</t>
        </is>
      </c>
      <c r="R13" s="9">
        <f>IF(D13=0,0,MAX(1,ROUND(D13*INDEX(economy!B:B,MATCH("building_upgrade_level2_multiplier",economy!A:A,0)),0)))</f>
        <v/>
      </c>
      <c r="S13" s="9">
        <f>IF(E13=0,0,MAX(1,ROUND(E13*INDEX(economy!B:B,MATCH("building_upgrade_level2_multiplier",economy!A:A,0)),0)))</f>
        <v/>
      </c>
      <c r="T13" s="2" t="n">
        <v>12</v>
      </c>
      <c r="U13" s="9">
        <f>IF(G13=0,0,MAX(1,ROUND(G13*INDEX(economy!B:B,MATCH("building_upgrade_level2_multiplier",economy!A:A,0)),0)))</f>
        <v/>
      </c>
      <c r="V13" s="9">
        <f>IF(H13=0,0,MAX(1,ROUND(H13*INDEX(economy!B:B,MATCH("building_upgrade_level2_multiplier",economy!A:A,0)),0)))</f>
        <v/>
      </c>
      <c r="W13" s="9">
        <f>IF(D13=0,0,MAX(1,ROUND(D13*INDEX(economy!B:B,MATCH("building_upgrade_level3_multiplier",economy!A:A,0)),0)))</f>
        <v/>
      </c>
      <c r="X13" s="9">
        <f>IF(E13=0,0,MAX(1,ROUND(E13*INDEX(economy!B:B,MATCH("building_upgrade_level3_multiplier",economy!A:A,0)),0)))</f>
        <v/>
      </c>
      <c r="Y13" s="2" t="n">
        <v>26</v>
      </c>
      <c r="Z13" s="9">
        <f>IF(G13=0,0,MAX(1,ROUND(G13*INDEX(economy!B:B,MATCH("building_upgrade_level3_multiplier",economy!A:A,0)),0)))</f>
        <v/>
      </c>
      <c r="AA13" s="9">
        <f>IF(H13=0,0,MAX(1,ROUND(H13*INDEX(economy!B:B,MATCH("building_upgrade_level3_multiplier",economy!A:A,0)),0)))</f>
        <v/>
      </c>
      <c r="AB13" s="8" t="inlineStr">
        <is>
          <t>Требует Стену: башня усиливает линию, а не стоит сама по себе.</t>
        </is>
      </c>
      <c r="AC13" s="9">
        <f>SUM(D13:H13)</f>
        <v/>
      </c>
      <c r="AD13" s="10">
        <f>IF(M13=0,0,J13*L13*INDEX(economy!B:B,MATCH("day_length_seconds",economy!A:A,0))/M13)</f>
        <v/>
      </c>
      <c r="AE13" s="10">
        <f>IF(AD13=0,"",AC13/AD13)</f>
        <v/>
      </c>
    </row>
    <row r="14">
      <c r="A14" s="2" t="inlineStr">
        <is>
          <t>Barracks</t>
        </is>
      </c>
      <c r="B14" s="2" t="inlineStr">
        <is>
          <t>Казармы</t>
        </is>
      </c>
      <c r="C14" s="2" t="inlineStr">
        <is>
          <t>Military</t>
        </is>
      </c>
      <c r="D14" s="2" t="n">
        <v>15</v>
      </c>
      <c r="E14" s="2" t="n">
        <v>30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0</v>
      </c>
      <c r="K14" s="2" t="inlineStr"/>
      <c r="L14" s="2" t="n">
        <v>0</v>
      </c>
      <c r="M14" s="2" t="n">
        <v>6</v>
      </c>
      <c r="N14" s="2" t="n">
        <v>180</v>
      </c>
      <c r="O14" s="2" t="n">
        <v>10</v>
      </c>
      <c r="P14" s="2" t="n">
        <v>10</v>
      </c>
      <c r="Q14" s="2" t="inlineStr"/>
      <c r="R14" s="9">
        <f>IF(D14=0,0,MAX(1,ROUND(D14*INDEX(economy!B:B,MATCH("building_upgrade_level2_multiplier",economy!A:A,0)),0)))</f>
        <v/>
      </c>
      <c r="S14" s="9">
        <f>IF(E14=0,0,MAX(1,ROUND(E14*INDEX(economy!B:B,MATCH("building_upgrade_level2_multiplier",economy!A:A,0)),0)))</f>
        <v/>
      </c>
      <c r="T14" s="2" t="n">
        <v>15</v>
      </c>
      <c r="U14" s="9">
        <f>IF(G14=0,0,MAX(1,ROUND(G14*INDEX(economy!B:B,MATCH("building_upgrade_level2_multiplier",economy!A:A,0)),0)))</f>
        <v/>
      </c>
      <c r="V14" s="9">
        <f>IF(H14=0,0,MAX(1,ROUND(H14*INDEX(economy!B:B,MATCH("building_upgrade_level2_multiplier",economy!A:A,0)),0)))</f>
        <v/>
      </c>
      <c r="W14" s="9">
        <f>IF(D14=0,0,MAX(1,ROUND(D14*INDEX(economy!B:B,MATCH("building_upgrade_level3_multiplier",economy!A:A,0)),0)))</f>
        <v/>
      </c>
      <c r="X14" s="9">
        <f>IF(E14=0,0,MAX(1,ROUND(E14*INDEX(economy!B:B,MATCH("building_upgrade_level3_multiplier",economy!A:A,0)),0)))</f>
        <v/>
      </c>
      <c r="Y14" s="2" t="n">
        <v>32</v>
      </c>
      <c r="Z14" s="9">
        <f>IF(G14=0,0,MAX(1,ROUND(G14*INDEX(economy!B:B,MATCH("building_upgrade_level3_multiplier",economy!A:A,0)),0)))</f>
        <v/>
      </c>
      <c r="AA14" s="9">
        <f>IF(H14=0,0,MAX(1,ROUND(H14*INDEX(economy!B:B,MATCH("building_upgrade_level3_multiplier",economy!A:A,0)),0)))</f>
        <v/>
      </c>
      <c r="AB14" s="8" t="inlineStr">
        <is>
          <t>Оружие и броня для большего гарнизона — самый крупный сток железа в игре.</t>
        </is>
      </c>
      <c r="AC14" s="9">
        <f>SUM(D14:H14)</f>
        <v/>
      </c>
      <c r="AD14" s="10">
        <f>IF(M14=0,0,J14*L14*INDEX(economy!B:B,MATCH("day_length_seconds",economy!A:A,0))/M14)</f>
        <v/>
      </c>
      <c r="AE14" s="10">
        <f>IF(AD14=0,"",AC14/AD14)</f>
        <v/>
      </c>
    </row>
    <row r="15">
      <c r="A15" s="2" t="inlineStr">
        <is>
          <t>Gate</t>
        </is>
      </c>
      <c r="B15" s="2" t="inlineStr">
        <is>
          <t>Ворота</t>
        </is>
      </c>
      <c r="C15" s="2" t="inlineStr">
        <is>
          <t>Military</t>
        </is>
      </c>
      <c r="D15" s="2" t="n">
        <v>5</v>
      </c>
      <c r="E15" s="2" t="n">
        <v>12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inlineStr"/>
      <c r="L15" s="2" t="n">
        <v>0</v>
      </c>
      <c r="M15" s="2" t="n">
        <v>6</v>
      </c>
      <c r="N15" s="2" t="n">
        <v>160</v>
      </c>
      <c r="O15" s="2" t="n">
        <v>12</v>
      </c>
      <c r="P15" s="2" t="n">
        <v>8</v>
      </c>
      <c r="Q15" s="2" t="inlineStr"/>
      <c r="R15" s="9">
        <f>IF(D15=0,0,MAX(1,ROUND(D15*INDEX(economy!B:B,MATCH("building_upgrade_level2_multiplier",economy!A:A,0)),0)))</f>
        <v/>
      </c>
      <c r="S15" s="9">
        <f>IF(E15=0,0,MAX(1,ROUND(E15*INDEX(economy!B:B,MATCH("building_upgrade_level2_multiplier",economy!A:A,0)),0)))</f>
        <v/>
      </c>
      <c r="T15" s="2" t="n">
        <v>8</v>
      </c>
      <c r="U15" s="9">
        <f>IF(G15=0,0,MAX(1,ROUND(G15*INDEX(economy!B:B,MATCH("building_upgrade_level2_multiplier",economy!A:A,0)),0)))</f>
        <v/>
      </c>
      <c r="V15" s="9">
        <f>IF(H15=0,0,MAX(1,ROUND(H15*INDEX(economy!B:B,MATCH("building_upgrade_level2_multiplier",economy!A:A,0)),0)))</f>
        <v/>
      </c>
      <c r="W15" s="9">
        <f>IF(D15=0,0,MAX(1,ROUND(D15*INDEX(economy!B:B,MATCH("building_upgrade_level3_multiplier",economy!A:A,0)),0)))</f>
        <v/>
      </c>
      <c r="X15" s="9">
        <f>IF(E15=0,0,MAX(1,ROUND(E15*INDEX(economy!B:B,MATCH("building_upgrade_level3_multiplier",economy!A:A,0)),0)))</f>
        <v/>
      </c>
      <c r="Y15" s="2" t="n">
        <v>18</v>
      </c>
      <c r="Z15" s="9">
        <f>IF(G15=0,0,MAX(1,ROUND(G15*INDEX(economy!B:B,MATCH("building_upgrade_level3_multiplier",economy!A:A,0)),0)))</f>
        <v/>
      </c>
      <c r="AA15" s="9">
        <f>IF(H15=0,0,MAX(1,ROUND(H15*INDEX(economy!B:B,MATCH("building_upgrade_level3_multiplier",economy!A:A,0)),0)))</f>
        <v/>
      </c>
      <c r="AB15" s="8" t="inlineStr"/>
      <c r="AC15" s="9">
        <f>SUM(D15:H15)</f>
        <v/>
      </c>
      <c r="AD15" s="10">
        <f>IF(M15=0,0,J15*L15*INDEX(economy!B:B,MATCH("day_length_seconds",economy!A:A,0))/M15)</f>
        <v/>
      </c>
      <c r="AE15" s="10">
        <f>IF(AD15=0,"",AC15/AD15)</f>
        <v/>
      </c>
    </row>
    <row r="16">
      <c r="A16" s="2" t="inlineStr">
        <is>
          <t>Road</t>
        </is>
      </c>
      <c r="B16" s="2" t="inlineStr">
        <is>
          <t>Дорога</t>
        </is>
      </c>
      <c r="C16" s="2" t="inlineStr">
        <is>
          <t>Infrastructure</t>
        </is>
      </c>
      <c r="D16" s="2" t="n">
        <v>0</v>
      </c>
      <c r="E16" s="2" t="n">
        <v>3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inlineStr"/>
      <c r="L16" s="2" t="n">
        <v>0</v>
      </c>
      <c r="M16" s="2" t="n">
        <v>6</v>
      </c>
      <c r="N16" s="2" t="n">
        <v>40</v>
      </c>
      <c r="O16" s="2" t="n">
        <v>0</v>
      </c>
      <c r="P16" s="2" t="n">
        <v>4</v>
      </c>
      <c r="Q16" s="2" t="inlineStr"/>
      <c r="R16" s="9">
        <f>IF(D16=0,0,MAX(1,ROUND(D16*INDEX(economy!B:B,MATCH("building_upgrade_level2_multiplier",economy!A:A,0)),0)))</f>
        <v/>
      </c>
      <c r="S16" s="9">
        <f>IF(E16=0,0,MAX(1,ROUND(E16*INDEX(economy!B:B,MATCH("building_upgrade_level2_multiplier",economy!A:A,0)),0)))</f>
        <v/>
      </c>
      <c r="T16" s="9">
        <f>IF(F16=0,0,MAX(1,ROUND(F16*INDEX(economy!B:B,MATCH("building_upgrade_level2_multiplier",economy!A:A,0)),0)))</f>
        <v/>
      </c>
      <c r="U16" s="9">
        <f>IF(G16=0,0,MAX(1,ROUND(G16*INDEX(economy!B:B,MATCH("building_upgrade_level2_multiplier",economy!A:A,0)),0)))</f>
        <v/>
      </c>
      <c r="V16" s="9">
        <f>IF(H16=0,0,MAX(1,ROUND(H16*INDEX(economy!B:B,MATCH("building_upgrade_level2_multiplier",economy!A:A,0)),0)))</f>
        <v/>
      </c>
      <c r="W16" s="9">
        <f>IF(D16=0,0,MAX(1,ROUND(D16*INDEX(economy!B:B,MATCH("building_upgrade_level3_multiplier",economy!A:A,0)),0)))</f>
        <v/>
      </c>
      <c r="X16" s="9">
        <f>IF(E16=0,0,MAX(1,ROUND(E16*INDEX(economy!B:B,MATCH("building_upgrade_level3_multiplier",economy!A:A,0)),0)))</f>
        <v/>
      </c>
      <c r="Y16" s="9">
        <f>IF(F16=0,0,MAX(1,ROUND(F16*INDEX(economy!B:B,MATCH("building_upgrade_level3_multiplier",economy!A:A,0)),0)))</f>
        <v/>
      </c>
      <c r="Z16" s="9">
        <f>IF(G16=0,0,MAX(1,ROUND(G16*INDEX(economy!B:B,MATCH("building_upgrade_level3_multiplier",economy!A:A,0)),0)))</f>
        <v/>
      </c>
      <c r="AA16" s="9">
        <f>IF(H16=0,0,MAX(1,ROUND(H16*INDEX(economy!B:B,MATCH("building_upgrade_level3_multiplier",economy!A:A,0)),0)))</f>
        <v/>
      </c>
      <c r="AB16" s="8" t="inlineStr"/>
      <c r="AC16" s="9">
        <f>SUM(D16:H16)</f>
        <v/>
      </c>
      <c r="AD16" s="10">
        <f>IF(M16=0,0,J16*L16*INDEX(economy!B:B,MATCH("day_length_seconds",economy!A:A,0))/M16)</f>
        <v/>
      </c>
      <c r="AE16" s="10">
        <f>IF(AD16=0,"",AC16/AD16)</f>
        <v/>
      </c>
    </row>
    <row r="17">
      <c r="A17" s="2" t="inlineStr">
        <is>
          <t>Bridge</t>
        </is>
      </c>
      <c r="B17" s="2" t="inlineStr">
        <is>
          <t>Мост</t>
        </is>
      </c>
      <c r="C17" s="2" t="inlineStr">
        <is>
          <t>Infrastructure</t>
        </is>
      </c>
      <c r="D17" s="2" t="n">
        <v>8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inlineStr"/>
      <c r="L17" s="2" t="n">
        <v>0</v>
      </c>
      <c r="M17" s="2" t="n">
        <v>6</v>
      </c>
      <c r="N17" s="2" t="n">
        <v>40</v>
      </c>
      <c r="O17" s="2" t="n">
        <v>0</v>
      </c>
      <c r="P17" s="2" t="n">
        <v>4</v>
      </c>
      <c r="Q17" s="2" t="inlineStr"/>
      <c r="R17" s="9">
        <f>IF(D17=0,0,MAX(1,ROUND(D17*INDEX(economy!B:B,MATCH("building_upgrade_level2_multiplier",economy!A:A,0)),0)))</f>
        <v/>
      </c>
      <c r="S17" s="9">
        <f>IF(E17=0,0,MAX(1,ROUND(E17*INDEX(economy!B:B,MATCH("building_upgrade_level2_multiplier",economy!A:A,0)),0)))</f>
        <v/>
      </c>
      <c r="T17" s="9">
        <f>IF(F17=0,0,MAX(1,ROUND(F17*INDEX(economy!B:B,MATCH("building_upgrade_level2_multiplier",economy!A:A,0)),0)))</f>
        <v/>
      </c>
      <c r="U17" s="9">
        <f>IF(G17=0,0,MAX(1,ROUND(G17*INDEX(economy!B:B,MATCH("building_upgrade_level2_multiplier",economy!A:A,0)),0)))</f>
        <v/>
      </c>
      <c r="V17" s="9">
        <f>IF(H17=0,0,MAX(1,ROUND(H17*INDEX(economy!B:B,MATCH("building_upgrade_level2_multiplier",economy!A:A,0)),0)))</f>
        <v/>
      </c>
      <c r="W17" s="9">
        <f>IF(D17=0,0,MAX(1,ROUND(D17*INDEX(economy!B:B,MATCH("building_upgrade_level3_multiplier",economy!A:A,0)),0)))</f>
        <v/>
      </c>
      <c r="X17" s="9">
        <f>IF(E17=0,0,MAX(1,ROUND(E17*INDEX(economy!B:B,MATCH("building_upgrade_level3_multiplier",economy!A:A,0)),0)))</f>
        <v/>
      </c>
      <c r="Y17" s="9">
        <f>IF(F17=0,0,MAX(1,ROUND(F17*INDEX(economy!B:B,MATCH("building_upgrade_level3_multiplier",economy!A:A,0)),0)))</f>
        <v/>
      </c>
      <c r="Z17" s="9">
        <f>IF(G17=0,0,MAX(1,ROUND(G17*INDEX(economy!B:B,MATCH("building_upgrade_level3_multiplier",economy!A:A,0)),0)))</f>
        <v/>
      </c>
      <c r="AA17" s="9">
        <f>IF(H17=0,0,MAX(1,ROUND(H17*INDEX(economy!B:B,MATCH("building_upgrade_level3_multiplier",economy!A:A,0)),0)))</f>
        <v/>
      </c>
      <c r="AB17" s="8" t="inlineStr"/>
      <c r="AC17" s="9">
        <f>SUM(D17:H17)</f>
        <v/>
      </c>
      <c r="AD17" s="10">
        <f>IF(M17=0,0,J17*L17*INDEX(economy!B:B,MATCH("day_length_seconds",economy!A:A,0))/M17)</f>
        <v/>
      </c>
      <c r="AE17" s="10">
        <f>IF(AD17=0,"",AC17/AD17)</f>
        <v/>
      </c>
    </row>
    <row r="18">
      <c r="A18" s="2" t="inlineStr">
        <is>
          <t>WaterMill</t>
        </is>
      </c>
      <c r="B18" s="2" t="inlineStr">
        <is>
          <t>Водяная мельница</t>
        </is>
      </c>
      <c r="C18" s="2" t="inlineStr">
        <is>
          <t>Food</t>
        </is>
      </c>
      <c r="D18" s="2" t="n">
        <v>25</v>
      </c>
      <c r="E18" s="2" t="n">
        <v>10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3</v>
      </c>
      <c r="K18" s="2" t="inlineStr">
        <is>
          <t>Food</t>
        </is>
      </c>
      <c r="L18" s="2" t="n">
        <v>3</v>
      </c>
      <c r="M18" s="2" t="n">
        <v>6</v>
      </c>
      <c r="N18" s="2" t="n">
        <v>90</v>
      </c>
      <c r="O18" s="2" t="n">
        <v>0</v>
      </c>
      <c r="P18" s="2" t="n">
        <v>12</v>
      </c>
      <c r="Q18" s="2" t="inlineStr"/>
      <c r="R18" s="9">
        <f>IF(D18=0,0,MAX(1,ROUND(D18*INDEX(economy!B:B,MATCH("building_upgrade_level2_multiplier",economy!A:A,0)),0)))</f>
        <v/>
      </c>
      <c r="S18" s="9">
        <f>IF(E18=0,0,MAX(1,ROUND(E18*INDEX(economy!B:B,MATCH("building_upgrade_level2_multiplier",economy!A:A,0)),0)))</f>
        <v/>
      </c>
      <c r="T18" s="9">
        <f>IF(F18=0,0,MAX(1,ROUND(F18*INDEX(economy!B:B,MATCH("building_upgrade_level2_multiplier",economy!A:A,0)),0)))</f>
        <v/>
      </c>
      <c r="U18" s="9">
        <f>IF(G18=0,0,MAX(1,ROUND(G18*INDEX(economy!B:B,MATCH("building_upgrade_level2_multiplier",economy!A:A,0)),0)))</f>
        <v/>
      </c>
      <c r="V18" s="9">
        <f>IF(H18=0,0,MAX(1,ROUND(H18*INDEX(economy!B:B,MATCH("building_upgrade_level2_multiplier",economy!A:A,0)),0)))</f>
        <v/>
      </c>
      <c r="W18" s="9">
        <f>IF(D18=0,0,MAX(1,ROUND(D18*INDEX(economy!B:B,MATCH("building_upgrade_level3_multiplier",economy!A:A,0)),0)))</f>
        <v/>
      </c>
      <c r="X18" s="9">
        <f>IF(E18=0,0,MAX(1,ROUND(E18*INDEX(economy!B:B,MATCH("building_upgrade_level3_multiplier",economy!A:A,0)),0)))</f>
        <v/>
      </c>
      <c r="Y18" s="9">
        <f>IF(F18=0,0,MAX(1,ROUND(F18*INDEX(economy!B:B,MATCH("building_upgrade_level3_multiplier",economy!A:A,0)),0)))</f>
        <v/>
      </c>
      <c r="Z18" s="9">
        <f>IF(G18=0,0,MAX(1,ROUND(G18*INDEX(economy!B:B,MATCH("building_upgrade_level3_multiplier",economy!A:A,0)),0)))</f>
        <v/>
      </c>
      <c r="AA18" s="9">
        <f>IF(H18=0,0,MAX(1,ROUND(H18*INDEX(economy!B:B,MATCH("building_upgrade_level3_multiplier",economy!A:A,0)),0)))</f>
        <v/>
      </c>
      <c r="AB18" s="8" t="inlineStr"/>
      <c r="AC18" s="9">
        <f>SUM(D18:H18)</f>
        <v/>
      </c>
      <c r="AD18" s="10">
        <f>IF(M18=0,0,J18*L18*INDEX(economy!B:B,MATCH("day_length_seconds",economy!A:A,0))/M18)</f>
        <v/>
      </c>
      <c r="AE18" s="10">
        <f>IF(AD18=0,"",AC18/AD18)</f>
        <v/>
      </c>
    </row>
    <row r="19">
      <c r="A19" s="2" t="inlineStr">
        <is>
          <t>Dock</t>
        </is>
      </c>
      <c r="B19" s="2" t="inlineStr">
        <is>
          <t>Пристань</t>
        </is>
      </c>
      <c r="C19" s="2" t="inlineStr">
        <is>
          <t>Production</t>
        </is>
      </c>
      <c r="D19" s="2" t="n">
        <v>20</v>
      </c>
      <c r="E19" s="2" t="n">
        <v>8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2</v>
      </c>
      <c r="K19" s="2" t="inlineStr">
        <is>
          <t>Gold</t>
        </is>
      </c>
      <c r="L19" s="2" t="n">
        <v>1</v>
      </c>
      <c r="M19" s="2" t="n">
        <v>6</v>
      </c>
      <c r="N19" s="2" t="n">
        <v>80</v>
      </c>
      <c r="O19" s="2" t="n">
        <v>0</v>
      </c>
      <c r="P19" s="2" t="n">
        <v>12</v>
      </c>
      <c r="Q19" s="2" t="inlineStr"/>
      <c r="R19" s="9">
        <f>IF(D19=0,0,MAX(1,ROUND(D19*INDEX(economy!B:B,MATCH("building_upgrade_level2_multiplier",economy!A:A,0)),0)))</f>
        <v/>
      </c>
      <c r="S19" s="9">
        <f>IF(E19=0,0,MAX(1,ROUND(E19*INDEX(economy!B:B,MATCH("building_upgrade_level2_multiplier",economy!A:A,0)),0)))</f>
        <v/>
      </c>
      <c r="T19" s="9">
        <f>IF(F19=0,0,MAX(1,ROUND(F19*INDEX(economy!B:B,MATCH("building_upgrade_level2_multiplier",economy!A:A,0)),0)))</f>
        <v/>
      </c>
      <c r="U19" s="9">
        <f>IF(G19=0,0,MAX(1,ROUND(G19*INDEX(economy!B:B,MATCH("building_upgrade_level2_multiplier",economy!A:A,0)),0)))</f>
        <v/>
      </c>
      <c r="V19" s="9">
        <f>IF(H19=0,0,MAX(1,ROUND(H19*INDEX(economy!B:B,MATCH("building_upgrade_level2_multiplier",economy!A:A,0)),0)))</f>
        <v/>
      </c>
      <c r="W19" s="9">
        <f>IF(D19=0,0,MAX(1,ROUND(D19*INDEX(economy!B:B,MATCH("building_upgrade_level3_multiplier",economy!A:A,0)),0)))</f>
        <v/>
      </c>
      <c r="X19" s="9">
        <f>IF(E19=0,0,MAX(1,ROUND(E19*INDEX(economy!B:B,MATCH("building_upgrade_level3_multiplier",economy!A:A,0)),0)))</f>
        <v/>
      </c>
      <c r="Y19" s="9">
        <f>IF(F19=0,0,MAX(1,ROUND(F19*INDEX(economy!B:B,MATCH("building_upgrade_level3_multiplier",economy!A:A,0)),0)))</f>
        <v/>
      </c>
      <c r="Z19" s="9">
        <f>IF(G19=0,0,MAX(1,ROUND(G19*INDEX(economy!B:B,MATCH("building_upgrade_level3_multiplier",economy!A:A,0)),0)))</f>
        <v/>
      </c>
      <c r="AA19" s="9">
        <f>IF(H19=0,0,MAX(1,ROUND(H19*INDEX(economy!B:B,MATCH("building_upgrade_level3_multiplier",economy!A:A,0)),0)))</f>
        <v/>
      </c>
      <c r="AB19" s="8" t="inlineStr"/>
      <c r="AC19" s="9">
        <f>SUM(D19:H19)</f>
        <v/>
      </c>
      <c r="AD19" s="10">
        <f>IF(M19=0,0,J19*L19*INDEX(economy!B:B,MATCH("day_length_seconds",economy!A:A,0))/M19)</f>
        <v/>
      </c>
      <c r="AE19" s="10">
        <f>IF(AD19=0,"",AC19/AD19)</f>
        <v/>
      </c>
    </row>
    <row r="21">
      <c r="A21" s="5" t="inlineStr">
        <is>
          <t>Жёлтые ячейки — правишь ты. Серые считаются формулами.</t>
        </is>
      </c>
    </row>
    <row r="22">
      <c r="A22" s="5" t="inlineStr">
        <is>
          <t>Колонку id читает код: переименование строки = здание без баланса, сборка скажет об этом ошибкой.</t>
        </is>
      </c>
    </row>
    <row r="23">
      <c r="A23" s="5" t="inlineStr">
        <is>
          <t>Визуал (размер в клетках, высота, цвета, модель) живёт в SetupProject.cs и в таблицу не переносится.</t>
        </is>
      </c>
    </row>
    <row r="24">
      <c r="A24" s="5" t="inlineStr">
        <is>
          <t>per_day и payback_days считают только производство: сколько ресурса в день на полном штате и за сколько дней отбивается постройка.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2" customWidth="1" min="3" max="3"/>
  </cols>
  <sheetData>
    <row r="1">
      <c r="A1" s="11" t="inlineStr">
        <is>
          <t>Дуэль: ополченец против орка</t>
        </is>
      </c>
    </row>
    <row r="2">
      <c r="A2" s="12" t="inlineStr">
        <is>
          <t>Орк убивает ополченца за, сек</t>
        </is>
      </c>
      <c r="B2" s="4">
        <f>units!M3</f>
        <v/>
      </c>
      <c r="C2" s="5" t="inlineStr">
        <is>
          <t>Меньшее число выигрывает дуэль.</t>
        </is>
      </c>
    </row>
    <row r="3">
      <c r="A3" s="12" t="inlineStr">
        <is>
          <t>Ополченец убивает орка за, сек</t>
        </is>
      </c>
      <c r="B3" s="4">
        <f>units!N2</f>
        <v/>
      </c>
      <c r="C3" s="5" t="inlineStr"/>
    </row>
    <row r="4">
      <c r="A4" s="12" t="inlineStr">
        <is>
          <t>Кто выигрывает 1 на 1</t>
        </is>
      </c>
      <c r="B4" s="13">
        <f>IF(units!M3&lt;units!N2,"орк","ополченец")</f>
        <v/>
      </c>
      <c r="C4" s="5" t="inlineStr">
        <is>
          <t>По задумке — орк.</t>
        </is>
      </c>
    </row>
    <row r="5">
      <c r="A5" s="12" t="inlineStr">
        <is>
          <t>Сколько ополченцев нужно, чтобы успеть</t>
        </is>
      </c>
      <c r="B5" s="4">
        <f>CEILING(units!N2/units!M3,1)</f>
        <v/>
      </c>
      <c r="C5" s="5" t="inlineStr">
        <is>
          <t>Столько бойцов убивают орка быстрее, чем он одного из них.</t>
        </is>
      </c>
    </row>
    <row r="7">
      <c r="A7" s="11" t="inlineStr">
        <is>
          <t>Экономика армии</t>
        </is>
      </c>
    </row>
    <row r="8">
      <c r="A8" s="12" t="inlineStr">
        <is>
          <t>Содержание одного бойца, мон./день</t>
        </is>
      </c>
      <c r="B8" s="4">
        <f>units!K2</f>
        <v/>
      </c>
      <c r="C8" s="5" t="inlineStr"/>
    </row>
    <row r="9">
      <c r="A9" s="12" t="inlineStr">
        <is>
          <t>Содержание полной армии, мон./день</t>
        </is>
      </c>
      <c r="B9" s="4">
        <f>units!K2*INDEX(economy!B:B,MATCH("army_max_size",economy!A:A,0))</f>
        <v/>
      </c>
      <c r="C9" s="5" t="inlineStr">
        <is>
          <t>При полном кэпе.</t>
        </is>
      </c>
    </row>
    <row r="10">
      <c r="A10" s="12" t="inlineStr">
        <is>
          <t>Налоговый доход при 20 жителях, мон./день</t>
        </is>
      </c>
      <c r="B10" s="4">
        <f>20*INDEX(economy!B:B,MATCH("coins_per_citizen_per_day_at_max_tax",economy!A:A,0))</f>
        <v/>
      </c>
      <c r="C10" s="5" t="inlineStr">
        <is>
          <t>При налоге 100%.</t>
        </is>
      </c>
    </row>
    <row r="11">
      <c r="A11" s="12" t="inlineStr">
        <is>
          <t>Хватает ли налога на полную армию</t>
        </is>
      </c>
      <c r="B11" s="13">
        <f>IF(B10&gt;=B9,"да","нет")</f>
        <v/>
      </c>
      <c r="C11" s="5" t="inlineStr">
        <is>
          <t>Если нет — армию придётся держать меньше кэпа или поднимать экономику.</t>
        </is>
      </c>
    </row>
    <row r="12">
      <c r="A12" s="12" t="inlineStr">
        <is>
          <t>Найм полной армии стоит, монет</t>
        </is>
      </c>
      <c r="B12" s="4">
        <f>units!J2*INDEX(economy!B:B,MATCH("army_max_size",economy!A:A,0))</f>
        <v/>
      </c>
      <c r="C12" s="5" t="inlineStr">
        <is>
          <t>Разовая трата.</t>
        </is>
      </c>
    </row>
    <row r="14">
      <c r="A14" s="11" t="inlineStr">
        <is>
          <t>Штурм портала</t>
        </is>
      </c>
    </row>
    <row r="15">
      <c r="A15" s="12" t="inlineStr">
        <is>
          <t>Прочность портала</t>
        </is>
      </c>
      <c r="B15" s="4">
        <f>INDEX(economy!B:B,MATCH("portal_max_health",economy!A:A,0))</f>
        <v/>
      </c>
      <c r="C15" s="5" t="inlineStr"/>
    </row>
    <row r="16">
      <c r="A16" s="12" t="inlineStr">
        <is>
          <t>Урон группы из 5 ополченцев, в секунду</t>
        </is>
      </c>
      <c r="B16" s="4">
        <f>5*units!L2</f>
        <v/>
      </c>
      <c r="C16" s="5" t="inlineStr"/>
    </row>
    <row r="17">
      <c r="A17" s="12" t="inlineStr">
        <is>
          <t>5 ополченцев ломают портал за, сек</t>
        </is>
      </c>
      <c r="B17" s="4">
        <f>IFERROR(B15/B16,0)</f>
        <v/>
      </c>
      <c r="C17" s="5" t="inlineStr">
        <is>
          <t>Без учёта того, что их будут бить.</t>
        </is>
      </c>
    </row>
    <row r="18">
      <c r="A18" s="12" t="inlineStr">
        <is>
          <t>10 ополченцев ломают портал за, сек</t>
        </is>
      </c>
      <c r="B18" s="4">
        <f>IFERROR(B15/(10*units!L2),0)</f>
        <v/>
      </c>
      <c r="C18" s="5" t="inlineStr"/>
    </row>
    <row r="20">
      <c r="A20" s="11" t="inlineStr">
        <is>
          <t>Набеги</t>
        </is>
      </c>
    </row>
    <row r="21">
      <c r="A21" s="12" t="inlineStr">
        <is>
          <t>Набег на 1-й день, орков</t>
        </is>
      </c>
      <c r="B21" s="9">
        <f>INDEX(economy!B:B,MATCH("raid_base_size",economy!A:A,0))</f>
        <v/>
      </c>
      <c r="C21" s="5" t="inlineStr"/>
    </row>
    <row r="22">
      <c r="A22" s="12" t="inlineStr">
        <is>
          <t>Набег на 10-й день, орков</t>
        </is>
      </c>
      <c r="B22" s="9">
        <f>MIN(INDEX(economy!B:B,MATCH("raid_max_size",economy!A:A,0)),INDEX(economy!B:B,MATCH("raid_base_size",economy!A:A,0))+INT(9/INDEX(economy!B:B,MATCH("raid_days_per_extra_raider",economy!A:A,0))))</f>
        <v/>
      </c>
      <c r="C22" s="5" t="inlineStr"/>
    </row>
    <row r="23">
      <c r="A23" s="12" t="inlineStr">
        <is>
          <t>Набег на 30-й день, орков</t>
        </is>
      </c>
      <c r="B23" s="9">
        <f>MIN(INDEX(economy!B:B,MATCH("raid_max_size",economy!A:A,0)),INDEX(economy!B:B,MATCH("raid_base_size",economy!A:A,0))+INT(29/INDEX(economy!B:B,MATCH("raid_days_per_extra_raider",economy!A:A,0))))</f>
        <v/>
      </c>
      <c r="C23" s="5" t="inlineStr"/>
    </row>
    <row r="24">
      <c r="A24" s="12" t="inlineStr">
        <is>
          <t>Набегов за игровой день</t>
        </is>
      </c>
      <c r="B24" s="4">
        <f>INDEX(economy!B:B,MATCH("day_length_seconds",economy!A:A,0))/INDEX(economy!B:B,MATCH("raid_interval_seconds",economy!A:A,0))</f>
        <v/>
      </c>
      <c r="C24" s="5" t="inlineStr">
        <is>
          <t>Сколько волн приходит за один день календаря.</t>
        </is>
      </c>
    </row>
    <row r="26">
      <c r="A26" s="11" t="inlineStr">
        <is>
          <t>Износ зданий</t>
        </is>
      </c>
    </row>
    <row r="27">
      <c r="A27" s="12" t="inlineStr">
        <is>
          <t>Дней до полного износа, 1 уровень</t>
        </is>
      </c>
      <c r="B27" s="10">
        <f>1/INDEX(economy!B:B,MATCH("decay_per_day_at_level1",economy!A:A,0))</f>
        <v/>
      </c>
      <c r="C27" s="5" t="inlineStr">
        <is>
          <t>После этого здание разрушается.</t>
        </is>
      </c>
    </row>
    <row r="28">
      <c r="A28" s="12" t="inlineStr">
        <is>
          <t>Дней до полного износа, 3 уровень</t>
        </is>
      </c>
      <c r="B28" s="10">
        <f>3/INDEX(economy!B:B,MATCH("decay_per_day_at_level1",economy!A:A,0))</f>
        <v/>
      </c>
      <c r="C28" s="5" t="inlineStr">
        <is>
          <t>Уровень замедляет износ.</t>
        </is>
      </c>
    </row>
    <row r="29">
      <c r="A29" s="12" t="inlineStr">
        <is>
          <t>Реальных минут до полного износа, 1 ур.</t>
        </is>
      </c>
      <c r="B29" s="10">
        <f>B27*INDEX(economy!B:B,MATCH("day_length_seconds",economy!A:A,0))/60</f>
        <v/>
      </c>
      <c r="C29" s="5" t="inlineStr"/>
    </row>
    <row r="31">
      <c r="A31" s="11" t="inlineStr">
        <is>
          <t>Здания</t>
        </is>
      </c>
    </row>
    <row r="32">
      <c r="A32" s="12" t="inlineStr">
        <is>
          <t>Быстрее всех окупается, дней</t>
        </is>
      </c>
      <c r="B32" s="10">
        <f>MIN(buildings!AE:AE)</f>
        <v/>
      </c>
      <c r="C32" s="5" t="inlineStr">
        <is>
          <t>По колонке payback_days: сколько игровых дней производство отбивает постройку.</t>
        </is>
      </c>
    </row>
    <row r="33">
      <c r="A33" s="12" t="inlineStr">
        <is>
          <t>Линия обороны целиком, камня</t>
        </is>
      </c>
      <c r="B33" s="9">
        <f>SUMIF(buildings!$C:$C,"Military",buildings!$E:$E)</f>
        <v/>
      </c>
      <c r="C33" s="5" t="inlineStr">
        <is>
          <t>Стена + башня + казармы + ворота по одному разу.</t>
        </is>
      </c>
    </row>
    <row r="34">
      <c r="A34" s="12" t="inlineStr">
        <is>
          <t>Жителей за всё жильё</t>
        </is>
      </c>
      <c r="B34" s="9">
        <f>SUMIF(buildings!$C:$C,"Housing",buildings!$I:$I)</f>
        <v/>
      </c>
      <c r="C34" s="5" t="inlineStr">
        <is>
          <t>Дом + коттедж по одному разу.</t>
        </is>
      </c>
    </row>
    <row r="35">
      <c r="A35" s="12" t="inlineStr">
        <is>
          <t>Еды в день со всех источников</t>
        </is>
      </c>
      <c r="B35" s="10">
        <f>SUMIF(buildings!$C:$C,"Food",buildings!$AD:$AD)</f>
        <v/>
      </c>
      <c r="C35" s="5" t="inlineStr">
        <is>
          <t>На полном штате рабочих.</t>
        </is>
      </c>
    </row>
    <row r="37">
      <c r="A37" s="5" t="inlineStr">
        <is>
          <t>Эта вкладка только считает — правь units, economy и buildings, числа здесь пересчитаются сами.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2026-08-14T06:59:38Z</dcterms:created>
  <dcterms:modified xsi:type="dcterms:W3CDTF">2026-08-14T06:59:38Z</dcterms:modified>
</cp:coreProperties>
</file>