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economy" sheetId="2" state="visible" r:id="rId2"/>
    <sheet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#"/>
    <numFmt numFmtId="165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FF"/>
      <sz val="11"/>
    </font>
    <font>
      <name val="Arial"/>
      <sz val="11"/>
    </font>
    <font>
      <name val="Arial"/>
      <i val="1"/>
      <color rgb="00555555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2F4F4F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2" fontId="3" fillId="4" borderId="1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3" fillId="0" borderId="0" pivotButton="0" quotePrefix="0" xfId="0"/>
    <xf numFmtId="0" fontId="3" fillId="4" borderId="1" pivotButton="0" quotePrefix="0" xfId="0"/>
    <xf numFmtId="1" fontId="3" fillId="4" borderId="1" pivotButton="0" quotePrefix="0" xfId="0"/>
    <xf numFmtId="165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8" customWidth="1" min="5" max="5"/>
    <col width="18" customWidth="1" min="6" max="6"/>
    <col width="22" customWidth="1" min="7" max="7"/>
    <col width="12" customWidth="1" min="8" max="8"/>
    <col width="14" customWidth="1" min="9" max="9"/>
    <col width="14" customWidth="1" min="10" max="10"/>
    <col width="20" customWidth="1" min="11" max="11"/>
    <col width="10" customWidth="1" min="12" max="12"/>
    <col width="20" customWidth="1" min="13" max="13"/>
    <col width="18" customWidth="1" min="14" max="14"/>
    <col width="14" customWidth="1" min="15" max="15"/>
  </cols>
  <sheetData>
    <row r="1">
      <c r="A1" s="1" t="inlineStr">
        <is>
          <t>id</t>
        </is>
      </c>
      <c r="B1" s="1" t="inlineStr">
        <is>
          <t>display_name</t>
        </is>
      </c>
      <c r="C1" s="1" t="inlineStr">
        <is>
          <t>max_health</t>
        </is>
      </c>
      <c r="D1" s="1" t="inlineStr">
        <is>
          <t>attack_damage</t>
        </is>
      </c>
      <c r="E1" s="1" t="inlineStr">
        <is>
          <t>attack_interval_sec</t>
        </is>
      </c>
      <c r="F1" s="1" t="inlineStr">
        <is>
          <t>attack_range_units</t>
        </is>
      </c>
      <c r="G1" s="1" t="inlineStr">
        <is>
          <t>attack_range_structures</t>
        </is>
      </c>
      <c r="H1" s="1" t="inlineStr">
        <is>
          <t>walk_speed</t>
        </is>
      </c>
      <c r="I1" s="1" t="inlineStr">
        <is>
          <t>engage_radius</t>
        </is>
      </c>
      <c r="J1" s="1" t="inlineStr">
        <is>
          <t>recruit_coins</t>
        </is>
      </c>
      <c r="K1" s="1" t="inlineStr">
        <is>
          <t>upkeep_coins_per_day</t>
        </is>
      </c>
      <c r="L1" s="1" t="inlineStr">
        <is>
          <t>dps</t>
        </is>
      </c>
      <c r="M1" s="1" t="inlineStr">
        <is>
          <t>ttk_vs_militia_sec</t>
        </is>
      </c>
      <c r="N1" s="1" t="inlineStr">
        <is>
          <t>ttk_vs_orc_sec</t>
        </is>
      </c>
      <c r="O1" s="1" t="inlineStr">
        <is>
          <t>coins_per_hp</t>
        </is>
      </c>
    </row>
    <row r="2">
      <c r="A2" s="2" t="inlineStr">
        <is>
          <t>militia</t>
        </is>
      </c>
      <c r="B2" s="2" t="inlineStr">
        <is>
          <t>Ополчение</t>
        </is>
      </c>
      <c r="C2" s="2" t="n">
        <v>12</v>
      </c>
      <c r="D2" s="2" t="n">
        <v>5</v>
      </c>
      <c r="E2" s="3" t="n">
        <v>1.1</v>
      </c>
      <c r="F2" s="3" t="n">
        <v>1.4</v>
      </c>
      <c r="G2" s="3" t="n">
        <v>2.6</v>
      </c>
      <c r="H2" s="3" t="n">
        <v>1.5</v>
      </c>
      <c r="I2" s="2" t="n">
        <v>7</v>
      </c>
      <c r="J2" s="2" t="n">
        <v>25</v>
      </c>
      <c r="K2" s="2" t="n">
        <v>1</v>
      </c>
      <c r="L2" s="4">
        <f>IFERROR(D2/E2,0)</f>
        <v/>
      </c>
      <c r="M2" s="4">
        <f>IFERROR(CEILING($C$2/D2,1)*E2,0)</f>
        <v/>
      </c>
      <c r="N2" s="4">
        <f>IFERROR(CEILING($C$3/D2,1)*E2,0)</f>
        <v/>
      </c>
      <c r="O2" s="4">
        <f>IFERROR(J2/C2,0)</f>
        <v/>
      </c>
    </row>
    <row r="3">
      <c r="A3" s="2" t="inlineStr">
        <is>
          <t>orc</t>
        </is>
      </c>
      <c r="B3" s="2" t="inlineStr">
        <is>
          <t>Орк</t>
        </is>
      </c>
      <c r="C3" s="2" t="n">
        <v>20</v>
      </c>
      <c r="D3" s="2" t="n">
        <v>4</v>
      </c>
      <c r="E3" s="3" t="n">
        <v>1.2</v>
      </c>
      <c r="F3" s="3" t="n">
        <v>1.4</v>
      </c>
      <c r="G3" s="3" t="n">
        <v>3</v>
      </c>
      <c r="H3" s="3" t="n">
        <v>1.3</v>
      </c>
      <c r="I3" s="2" t="n">
        <v>6</v>
      </c>
      <c r="J3" s="2" t="n">
        <v>0</v>
      </c>
      <c r="K3" s="2" t="n">
        <v>0</v>
      </c>
      <c r="L3" s="4">
        <f>IFERROR(D3/E3,0)</f>
        <v/>
      </c>
      <c r="M3" s="4">
        <f>IFERROR(CEILING($C$2/D3,1)*E3,0)</f>
        <v/>
      </c>
      <c r="N3" s="4">
        <f>IFERROR(CEILING($C$3/D3,1)*E3,0)</f>
        <v/>
      </c>
      <c r="O3" s="4">
        <f>IFERROR(J3/C3,0)</f>
        <v/>
      </c>
    </row>
    <row r="5">
      <c r="A5" s="5" t="inlineStr">
        <is>
          <t>Жёлтые ячейки — правишь ты. Серые считаются формулами: их можно смотреть, но менять бессмысленно.</t>
        </is>
      </c>
    </row>
    <row r="6">
      <c r="A6" s="5" t="inlineStr">
        <is>
          <t>Колонки id и display_name читает код. Порядок колонок не важен — импортёр ищет их по названию, лишние колонки игнорирует.</t>
        </is>
      </c>
    </row>
    <row r="7">
      <c r="A7" s="5" t="inlineStr">
        <is>
          <t>Добавить нового юнита = добавить строку. Но код узнает о нём только когда для него появится тип в игре.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70" customWidth="1" min="3" max="3"/>
  </cols>
  <sheetData>
    <row r="1">
      <c r="A1" s="6" t="inlineStr">
        <is>
          <t>key</t>
        </is>
      </c>
      <c r="B1" s="6" t="inlineStr">
        <is>
          <t>value</t>
        </is>
      </c>
      <c r="C1" s="6" t="inlineStr">
        <is>
          <t>comment</t>
        </is>
      </c>
    </row>
    <row r="2">
      <c r="A2" s="7" t="inlineStr">
        <is>
          <t>army_max_size</t>
        </is>
      </c>
      <c r="B2" s="2" t="n">
        <v>20</v>
      </c>
      <c r="C2" s="8" t="inlineStr">
        <is>
          <t>Общий предел армии по всем группам</t>
        </is>
      </c>
    </row>
    <row r="3">
      <c r="A3" s="7" t="inlineStr">
        <is>
          <t>raid_interval_seconds</t>
        </is>
      </c>
      <c r="B3" s="2" t="n">
        <v>90</v>
      </c>
      <c r="C3" s="8" t="inlineStr">
        <is>
          <t>Через сколько секунд портал шлёт следующий набег</t>
        </is>
      </c>
    </row>
    <row r="4">
      <c r="A4" s="7" t="inlineStr">
        <is>
          <t>raid_base_size</t>
        </is>
      </c>
      <c r="B4" s="2" t="n">
        <v>2</v>
      </c>
      <c r="C4" s="8" t="inlineStr">
        <is>
          <t>Размер набега на первый день</t>
        </is>
      </c>
    </row>
    <row r="5">
      <c r="A5" s="7" t="inlineStr">
        <is>
          <t>raid_days_per_extra_raider</t>
        </is>
      </c>
      <c r="B5" s="2" t="n">
        <v>3</v>
      </c>
      <c r="C5" s="8" t="inlineStr">
        <is>
          <t>Каждые N дней в набеге на одного орка больше</t>
        </is>
      </c>
    </row>
    <row r="6">
      <c r="A6" s="7" t="inlineStr">
        <is>
          <t>raid_max_size</t>
        </is>
      </c>
      <c r="B6" s="2" t="n">
        <v>8</v>
      </c>
      <c r="C6" s="8" t="inlineStr">
        <is>
          <t>Потолок размера набега</t>
        </is>
      </c>
    </row>
    <row r="7">
      <c r="A7" s="7" t="inlineStr">
        <is>
          <t>portal_max_health</t>
        </is>
      </c>
      <c r="B7" s="2" t="n">
        <v>320</v>
      </c>
      <c r="C7" s="8" t="inlineStr">
        <is>
          <t>Запас прочности портала</t>
        </is>
      </c>
    </row>
    <row r="8">
      <c r="A8" s="7" t="inlineStr">
        <is>
          <t>defence_attack_interval_seconds</t>
        </is>
      </c>
      <c r="B8" s="2" t="n">
        <v>1</v>
      </c>
      <c r="C8" s="8" t="inlineStr">
        <is>
          <t>Как часто бьёт здание с защитой (стена/башня/казармы/ворота)</t>
        </is>
      </c>
    </row>
    <row r="9">
      <c r="A9" s="7" t="inlineStr">
        <is>
          <t>defence_attack_range_meters</t>
        </is>
      </c>
      <c r="B9" s="2" t="n">
        <v>6</v>
      </c>
      <c r="C9" s="8" t="inlineStr">
        <is>
          <t>Радиус обстрела здания с защитой</t>
        </is>
      </c>
    </row>
    <row r="10">
      <c r="A10" s="7" t="inlineStr">
        <is>
          <t>day_length_seconds</t>
        </is>
      </c>
      <c r="B10" s="2" t="n">
        <v>120</v>
      </c>
      <c r="C10" s="8" t="inlineStr">
        <is>
          <t>Длина игрового дня в реальных секундах</t>
        </is>
      </c>
    </row>
    <row r="11">
      <c r="A11" s="7" t="inlineStr">
        <is>
          <t>coins_per_citizen_per_day_at_max_tax</t>
        </is>
      </c>
      <c r="B11" s="2" t="n">
        <v>0.5</v>
      </c>
      <c r="C11" s="8" t="inlineStr">
        <is>
          <t>Монет с жителя в день при налоге 100%</t>
        </is>
      </c>
    </row>
    <row r="12">
      <c r="A12" s="7" t="inlineStr">
        <is>
          <t>decay_per_day_at_level1</t>
        </is>
      </c>
      <c r="B12" s="2" t="n">
        <v>0.02</v>
      </c>
      <c r="C12" s="8" t="inlineStr">
        <is>
          <t>Ветхость в день у здания 1 уровня; делится на уровень</t>
        </is>
      </c>
    </row>
    <row r="13">
      <c r="A13" s="7" t="inlineStr">
        <is>
          <t>decay_penalty_threshold</t>
        </is>
      </c>
      <c r="B13" s="2" t="n">
        <v>0.7</v>
      </c>
      <c r="C13" s="8" t="inlineStr">
        <is>
          <t>С какой ветхости начинает падать производство</t>
        </is>
      </c>
    </row>
    <row r="14">
      <c r="A14" s="7" t="inlineStr">
        <is>
          <t>min_decay_production_multiplier</t>
        </is>
      </c>
      <c r="B14" s="2" t="n">
        <v>0.5</v>
      </c>
      <c r="C14" s="8" t="inlineStr">
        <is>
          <t>Во сколько раз падает производство при 100% ветхости</t>
        </is>
      </c>
    </row>
    <row r="15">
      <c r="A15" s="7" t="inlineStr">
        <is>
          <t>repair_cost_fraction</t>
        </is>
      </c>
      <c r="B15" s="2" t="n">
        <v>0.4</v>
      </c>
      <c r="C15" s="8" t="inlineStr">
        <is>
          <t>Доля стоимости постройки за полный ремонт</t>
        </is>
      </c>
    </row>
    <row r="16">
      <c r="A16" s="7" t="inlineStr">
        <is>
          <t>wood_per_tree</t>
        </is>
      </c>
      <c r="B16" s="2" t="n">
        <v>5</v>
      </c>
      <c r="C16" s="8" t="inlineStr">
        <is>
          <t>Дерева за одно срубленное дерево вручную</t>
        </is>
      </c>
    </row>
    <row r="17">
      <c r="A17" s="7" t="inlineStr">
        <is>
          <t>stone_per_rock</t>
        </is>
      </c>
      <c r="B17" s="2" t="n">
        <v>4</v>
      </c>
      <c r="C17" s="8" t="inlineStr">
        <is>
          <t>Камня за один валун вручную</t>
        </is>
      </c>
    </row>
    <row r="19">
      <c r="A19" s="5" t="inlineStr">
        <is>
          <t>Ключи в колонке key читает код: переименование = потерянная настройка (импорт напишет об этом ошибкой).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2" customWidth="1" min="3" max="3"/>
  </cols>
  <sheetData>
    <row r="1">
      <c r="A1" s="9" t="inlineStr">
        <is>
          <t>Дуэль: ополченец против орка</t>
        </is>
      </c>
    </row>
    <row r="2">
      <c r="A2" s="10" t="inlineStr">
        <is>
          <t>Орк убивает ополченца за, сек</t>
        </is>
      </c>
      <c r="B2" s="4">
        <f>units!M3</f>
        <v/>
      </c>
      <c r="C2" s="5" t="inlineStr">
        <is>
          <t>Меньшее число выигрывает дуэль.</t>
        </is>
      </c>
    </row>
    <row r="3">
      <c r="A3" s="10" t="inlineStr">
        <is>
          <t>Ополченец убивает орка за, сек</t>
        </is>
      </c>
      <c r="B3" s="4">
        <f>units!N2</f>
        <v/>
      </c>
      <c r="C3" s="5" t="inlineStr"/>
    </row>
    <row r="4">
      <c r="A4" s="10" t="inlineStr">
        <is>
          <t>Кто выигрывает 1 на 1</t>
        </is>
      </c>
      <c r="B4" s="11">
        <f>IF(units!M3&lt;units!N2,"орк","ополченец")</f>
        <v/>
      </c>
      <c r="C4" s="5" t="inlineStr">
        <is>
          <t>По задумке — орк.</t>
        </is>
      </c>
    </row>
    <row r="5">
      <c r="A5" s="10" t="inlineStr">
        <is>
          <t>Сколько ополченцев нужно, чтобы успеть</t>
        </is>
      </c>
      <c r="B5" s="4">
        <f>CEILING(units!N2/units!M3,1)</f>
        <v/>
      </c>
      <c r="C5" s="5" t="inlineStr">
        <is>
          <t>Столько бойцов убивают орка быстрее, чем он одного из них.</t>
        </is>
      </c>
    </row>
    <row r="7">
      <c r="A7" s="9" t="inlineStr">
        <is>
          <t>Экономика армии</t>
        </is>
      </c>
    </row>
    <row r="8">
      <c r="A8" s="10" t="inlineStr">
        <is>
          <t>Содержание одного бойца, мон./день</t>
        </is>
      </c>
      <c r="B8" s="4">
        <f>units!K2</f>
        <v/>
      </c>
      <c r="C8" s="5" t="inlineStr"/>
    </row>
    <row r="9">
      <c r="A9" s="10" t="inlineStr">
        <is>
          <t>Содержание полной армии, мон./день</t>
        </is>
      </c>
      <c r="B9" s="4">
        <f>units!K2*INDEX(economy!B:B,MATCH("army_max_size",economy!A:A,0))</f>
        <v/>
      </c>
      <c r="C9" s="5" t="inlineStr">
        <is>
          <t>При полном кэпе.</t>
        </is>
      </c>
    </row>
    <row r="10">
      <c r="A10" s="10" t="inlineStr">
        <is>
          <t>Налоговый доход при 20 жителях, мон./день</t>
        </is>
      </c>
      <c r="B10" s="4">
        <f>20*INDEX(economy!B:B,MATCH("coins_per_citizen_per_day_at_max_tax",economy!A:A,0))</f>
        <v/>
      </c>
      <c r="C10" s="5" t="inlineStr">
        <is>
          <t>При налоге 100%.</t>
        </is>
      </c>
    </row>
    <row r="11">
      <c r="A11" s="10" t="inlineStr">
        <is>
          <t>Хватает ли налога на полную армию</t>
        </is>
      </c>
      <c r="B11" s="11">
        <f>IF(B10&gt;=B9,"да","нет")</f>
        <v/>
      </c>
      <c r="C11" s="5" t="inlineStr">
        <is>
          <t>Если нет — армию придётся держать меньше кэпа или поднимать экономику.</t>
        </is>
      </c>
    </row>
    <row r="12">
      <c r="A12" s="10" t="inlineStr">
        <is>
          <t>Найм полной армии стоит, монет</t>
        </is>
      </c>
      <c r="B12" s="4">
        <f>units!J2*INDEX(economy!B:B,MATCH("army_max_size",economy!A:A,0))</f>
        <v/>
      </c>
      <c r="C12" s="5" t="inlineStr">
        <is>
          <t>Разовая трата.</t>
        </is>
      </c>
    </row>
    <row r="14">
      <c r="A14" s="9" t="inlineStr">
        <is>
          <t>Штурм портала</t>
        </is>
      </c>
    </row>
    <row r="15">
      <c r="A15" s="10" t="inlineStr">
        <is>
          <t>Прочность портала</t>
        </is>
      </c>
      <c r="B15" s="4">
        <f>INDEX(economy!B:B,MATCH("portal_max_health",economy!A:A,0))</f>
        <v/>
      </c>
      <c r="C15" s="5" t="inlineStr"/>
    </row>
    <row r="16">
      <c r="A16" s="10" t="inlineStr">
        <is>
          <t>Урон группы из 5 ополченцев, в секунду</t>
        </is>
      </c>
      <c r="B16" s="4">
        <f>5*units!L2</f>
        <v/>
      </c>
      <c r="C16" s="5" t="inlineStr"/>
    </row>
    <row r="17">
      <c r="A17" s="10" t="inlineStr">
        <is>
          <t>5 ополченцев ломают портал за, сек</t>
        </is>
      </c>
      <c r="B17" s="4">
        <f>IFERROR(B15/B16,0)</f>
        <v/>
      </c>
      <c r="C17" s="5" t="inlineStr">
        <is>
          <t>Без учёта того, что их будут бить.</t>
        </is>
      </c>
    </row>
    <row r="18">
      <c r="A18" s="10" t="inlineStr">
        <is>
          <t>10 ополченцев ломают портал за, сек</t>
        </is>
      </c>
      <c r="B18" s="4">
        <f>IFERROR(B15/(10*units!L2),0)</f>
        <v/>
      </c>
      <c r="C18" s="5" t="inlineStr"/>
    </row>
    <row r="20">
      <c r="A20" s="9" t="inlineStr">
        <is>
          <t>Набеги</t>
        </is>
      </c>
    </row>
    <row r="21">
      <c r="A21" s="10" t="inlineStr">
        <is>
          <t>Набег на 1-й день, орков</t>
        </is>
      </c>
      <c r="B21" s="12">
        <f>INDEX(economy!B:B,MATCH("raid_base_size",economy!A:A,0))</f>
        <v/>
      </c>
      <c r="C21" s="5" t="inlineStr"/>
    </row>
    <row r="22">
      <c r="A22" s="10" t="inlineStr">
        <is>
          <t>Набег на 10-й день, орков</t>
        </is>
      </c>
      <c r="B22" s="12">
        <f>MIN(INDEX(economy!B:B,MATCH("raid_max_size",economy!A:A,0)),INDEX(economy!B:B,MATCH("raid_base_size",economy!A:A,0))+INT(9/INDEX(economy!B:B,MATCH("raid_days_per_extra_raider",economy!A:A,0))))</f>
        <v/>
      </c>
      <c r="C22" s="5" t="inlineStr"/>
    </row>
    <row r="23">
      <c r="A23" s="10" t="inlineStr">
        <is>
          <t>Набег на 30-й день, орков</t>
        </is>
      </c>
      <c r="B23" s="12">
        <f>MIN(INDEX(economy!B:B,MATCH("raid_max_size",economy!A:A,0)),INDEX(economy!B:B,MATCH("raid_base_size",economy!A:A,0))+INT(29/INDEX(economy!B:B,MATCH("raid_days_per_extra_raider",economy!A:A,0))))</f>
        <v/>
      </c>
      <c r="C23" s="5" t="inlineStr"/>
    </row>
    <row r="24">
      <c r="A24" s="10" t="inlineStr">
        <is>
          <t>Набегов за игровой день</t>
        </is>
      </c>
      <c r="B24" s="4">
        <f>INDEX(economy!B:B,MATCH("day_length_seconds",economy!A:A,0))/INDEX(economy!B:B,MATCH("raid_interval_seconds",economy!A:A,0))</f>
        <v/>
      </c>
      <c r="C24" s="5" t="inlineStr">
        <is>
          <t>Сколько волн приходит за один день календаря.</t>
        </is>
      </c>
    </row>
    <row r="26">
      <c r="A26" s="9" t="inlineStr">
        <is>
          <t>Износ зданий</t>
        </is>
      </c>
    </row>
    <row r="27">
      <c r="A27" s="10" t="inlineStr">
        <is>
          <t>Дней до полного износа, 1 уровень</t>
        </is>
      </c>
      <c r="B27" s="13">
        <f>1/INDEX(economy!B:B,MATCH("decay_per_day_at_level1",economy!A:A,0))</f>
        <v/>
      </c>
      <c r="C27" s="5" t="inlineStr">
        <is>
          <t>После этого здание разрушается.</t>
        </is>
      </c>
    </row>
    <row r="28">
      <c r="A28" s="10" t="inlineStr">
        <is>
          <t>Дней до полного износа, 3 уровень</t>
        </is>
      </c>
      <c r="B28" s="13">
        <f>3/INDEX(economy!B:B,MATCH("decay_per_day_at_level1",economy!A:A,0))</f>
        <v/>
      </c>
      <c r="C28" s="5" t="inlineStr">
        <is>
          <t>Уровень замедляет износ.</t>
        </is>
      </c>
    </row>
    <row r="29">
      <c r="A29" s="10" t="inlineStr">
        <is>
          <t>Реальных минут до полного износа, 1 ур.</t>
        </is>
      </c>
      <c r="B29" s="13">
        <f>B27*INDEX(economy!B:B,MATCH("day_length_seconds",economy!A:A,0))/60</f>
        <v/>
      </c>
      <c r="C29" s="5" t="inlineStr"/>
    </row>
    <row r="31">
      <c r="A31" s="5" t="inlineStr">
        <is>
          <t>Эта вкладка только считает — правь units и economy, числа здесь пересчитаются сами.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2026-08-14T06:11:59Z</dcterms:created>
  <dcterms:modified xsi:type="dcterms:W3CDTF">2026-08-14T06:11:59Z</dcterms:modified>
</cp:coreProperties>
</file>